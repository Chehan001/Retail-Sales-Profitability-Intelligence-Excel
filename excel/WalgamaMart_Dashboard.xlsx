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202300"/>
  <mc:AlternateContent xmlns:mc="http://schemas.openxmlformats.org/markup-compatibility/2006">
    <mc:Choice Requires="x15">
      <x15ac:absPath xmlns:x15ac="http://schemas.microsoft.com/office/spreadsheetml/2010/11/ac" url="C:\Users\chehan\Desktop\Retail-Sales-Profitability-Intelligence-Excel\excel\"/>
    </mc:Choice>
  </mc:AlternateContent>
  <xr:revisionPtr revIDLastSave="0" documentId="13_ncr:1_{5DDD1BE9-7962-4298-822A-9AFE68BA320A}" xr6:coauthVersionLast="47" xr6:coauthVersionMax="47" xr10:uidLastSave="{00000000-0000-0000-0000-000000000000}"/>
  <bookViews>
    <workbookView xWindow="-108" yWindow="-108" windowWidth="23256" windowHeight="12456" tabRatio="637" activeTab="1" xr2:uid="{BF65397B-50A1-4D9F-A9A6-D4E19A7FEE21}"/>
  </bookViews>
  <sheets>
    <sheet name="sales" sheetId="2" r:id="rId1"/>
    <sheet name="Dashboard" sheetId="5" r:id="rId2"/>
    <sheet name="KPI_Summary" sheetId="9" r:id="rId3"/>
    <sheet name="Pivot_Analysis" sheetId="8" r:id="rId4"/>
    <sheet name="SalesbyChannel_Pivot_Analysis" sheetId="7" r:id="rId5"/>
    <sheet name="Monthly_Pivot_Analysis" sheetId="6" r:id="rId6"/>
    <sheet name="Store_Pivot_Analysis" sheetId="4" r:id="rId7"/>
  </sheets>
  <definedNames>
    <definedName name="ExternalData_1" localSheetId="0" hidden="1">sales!$A$1:$K$501</definedName>
    <definedName name="Slicer_SalesChannel">#N/A</definedName>
    <definedName name="Slicer_StoreID">#N/A</definedName>
  </definedNames>
  <calcPr calcId="191029"/>
  <pivotCaches>
    <pivotCache cacheId="4"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7" i="9" l="1"/>
  <c r="B6" i="9"/>
  <c r="B5" i="9"/>
  <c r="B4" i="9"/>
  <c r="B3" i="9"/>
  <c r="B2" i="9"/>
  <c r="O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L2"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M88" i="2" l="1"/>
  <c r="N88" i="2"/>
  <c r="P88" i="2" s="1"/>
  <c r="Q88" i="2" s="1"/>
  <c r="M89" i="2"/>
  <c r="N89" i="2"/>
  <c r="P89" i="2" s="1"/>
  <c r="Q89" i="2" s="1"/>
  <c r="M90" i="2"/>
  <c r="N90" i="2"/>
  <c r="P90" i="2" s="1"/>
  <c r="Q90" i="2" s="1"/>
  <c r="M91" i="2"/>
  <c r="N91" i="2"/>
  <c r="P91" i="2" s="1"/>
  <c r="Q91" i="2" s="1"/>
  <c r="M92" i="2"/>
  <c r="N92" i="2"/>
  <c r="P92" i="2" s="1"/>
  <c r="Q92" i="2" s="1"/>
  <c r="M93" i="2"/>
  <c r="N93" i="2"/>
  <c r="P93" i="2" s="1"/>
  <c r="Q93" i="2" s="1"/>
  <c r="M94" i="2"/>
  <c r="N94" i="2"/>
  <c r="P94" i="2" s="1"/>
  <c r="Q94" i="2" s="1"/>
  <c r="M2" i="2"/>
  <c r="N2" i="2"/>
  <c r="P2" i="2" s="1"/>
  <c r="Q2" i="2" s="1"/>
  <c r="M3" i="2"/>
  <c r="N3" i="2"/>
  <c r="P3" i="2" s="1"/>
  <c r="Q3" i="2" s="1"/>
  <c r="M4" i="2"/>
  <c r="N4" i="2"/>
  <c r="P4" i="2" s="1"/>
  <c r="Q4" i="2" s="1"/>
  <c r="M5" i="2"/>
  <c r="N5" i="2"/>
  <c r="P5" i="2" s="1"/>
  <c r="Q5" i="2" s="1"/>
  <c r="M6" i="2"/>
  <c r="N6" i="2"/>
  <c r="P6" i="2" s="1"/>
  <c r="Q6" i="2" s="1"/>
  <c r="M7" i="2"/>
  <c r="N7" i="2"/>
  <c r="P7" i="2" s="1"/>
  <c r="Q7" i="2" s="1"/>
  <c r="M8" i="2"/>
  <c r="N8" i="2"/>
  <c r="P8" i="2" s="1"/>
  <c r="Q8" i="2" s="1"/>
  <c r="M9" i="2"/>
  <c r="N9" i="2"/>
  <c r="P9" i="2" s="1"/>
  <c r="Q9" i="2" s="1"/>
  <c r="M10" i="2"/>
  <c r="N10" i="2"/>
  <c r="P10" i="2" s="1"/>
  <c r="Q10" i="2" s="1"/>
  <c r="M11" i="2"/>
  <c r="N11" i="2"/>
  <c r="P11" i="2" s="1"/>
  <c r="Q11" i="2" s="1"/>
  <c r="M12" i="2"/>
  <c r="N12" i="2"/>
  <c r="P12" i="2" s="1"/>
  <c r="Q12" i="2" s="1"/>
  <c r="M13" i="2"/>
  <c r="N13" i="2"/>
  <c r="P13" i="2" s="1"/>
  <c r="Q13" i="2" s="1"/>
  <c r="M14" i="2"/>
  <c r="N14" i="2"/>
  <c r="P14" i="2" s="1"/>
  <c r="Q14" i="2" s="1"/>
  <c r="M15" i="2"/>
  <c r="N15" i="2"/>
  <c r="P15" i="2" s="1"/>
  <c r="Q15" i="2" s="1"/>
  <c r="M16" i="2"/>
  <c r="N16" i="2"/>
  <c r="P16" i="2" s="1"/>
  <c r="Q16" i="2" s="1"/>
  <c r="M17" i="2"/>
  <c r="N17" i="2"/>
  <c r="P17" i="2" s="1"/>
  <c r="Q17" i="2" s="1"/>
  <c r="M18" i="2"/>
  <c r="N18" i="2"/>
  <c r="P18" i="2" s="1"/>
  <c r="Q18" i="2" s="1"/>
  <c r="M19" i="2"/>
  <c r="N19" i="2"/>
  <c r="P19" i="2" s="1"/>
  <c r="Q19" i="2" s="1"/>
  <c r="M20" i="2"/>
  <c r="N20" i="2" s="1"/>
  <c r="P20" i="2" s="1"/>
  <c r="Q20" i="2" s="1"/>
  <c r="M21" i="2"/>
  <c r="N21" i="2"/>
  <c r="P21" i="2" s="1"/>
  <c r="Q21" i="2" s="1"/>
  <c r="M22" i="2"/>
  <c r="N22" i="2"/>
  <c r="P22" i="2" s="1"/>
  <c r="Q22" i="2" s="1"/>
  <c r="M23" i="2"/>
  <c r="N23" i="2"/>
  <c r="P23" i="2" s="1"/>
  <c r="Q23" i="2" s="1"/>
  <c r="M24" i="2"/>
  <c r="N24" i="2"/>
  <c r="P24" i="2" s="1"/>
  <c r="Q24" i="2" s="1"/>
  <c r="M25" i="2"/>
  <c r="N25" i="2"/>
  <c r="P25" i="2" s="1"/>
  <c r="Q25" i="2" s="1"/>
  <c r="M26" i="2"/>
  <c r="N26" i="2"/>
  <c r="P26" i="2" s="1"/>
  <c r="Q26" i="2" s="1"/>
  <c r="M27" i="2"/>
  <c r="N27" i="2"/>
  <c r="P27" i="2" s="1"/>
  <c r="Q27" i="2" s="1"/>
  <c r="M28" i="2"/>
  <c r="N28" i="2"/>
  <c r="P28" i="2" s="1"/>
  <c r="Q28" i="2" s="1"/>
  <c r="M29" i="2"/>
  <c r="N29" i="2"/>
  <c r="P29" i="2" s="1"/>
  <c r="Q29" i="2" s="1"/>
  <c r="M30" i="2"/>
  <c r="N30" i="2"/>
  <c r="P30" i="2" s="1"/>
  <c r="Q30" i="2" s="1"/>
  <c r="M31" i="2"/>
  <c r="N31" i="2"/>
  <c r="P31" i="2" s="1"/>
  <c r="Q31" i="2" s="1"/>
  <c r="M32" i="2"/>
  <c r="N32" i="2"/>
  <c r="P32" i="2" s="1"/>
  <c r="Q32" i="2" s="1"/>
  <c r="M33" i="2"/>
  <c r="N33" i="2"/>
  <c r="P33" i="2" s="1"/>
  <c r="Q33" i="2" s="1"/>
  <c r="M34" i="2"/>
  <c r="N34" i="2"/>
  <c r="P34" i="2" s="1"/>
  <c r="Q34" i="2" s="1"/>
  <c r="M35" i="2"/>
  <c r="N35" i="2"/>
  <c r="P35" i="2" s="1"/>
  <c r="Q35" i="2" s="1"/>
  <c r="M36" i="2"/>
  <c r="N36" i="2"/>
  <c r="P36" i="2" s="1"/>
  <c r="Q36" i="2" s="1"/>
  <c r="M37" i="2"/>
  <c r="N37" i="2"/>
  <c r="P37" i="2" s="1"/>
  <c r="Q37" i="2" s="1"/>
  <c r="M38" i="2"/>
  <c r="N38" i="2"/>
  <c r="P38" i="2" s="1"/>
  <c r="Q38" i="2" s="1"/>
  <c r="M39" i="2"/>
  <c r="N39" i="2"/>
  <c r="P39" i="2" s="1"/>
  <c r="Q39" i="2" s="1"/>
  <c r="M40" i="2"/>
  <c r="N40" i="2"/>
  <c r="P40" i="2" s="1"/>
  <c r="Q40" i="2" s="1"/>
  <c r="M41" i="2"/>
  <c r="N41" i="2"/>
  <c r="P41" i="2" s="1"/>
  <c r="Q41" i="2" s="1"/>
  <c r="M42" i="2"/>
  <c r="N42" i="2"/>
  <c r="P42" i="2" s="1"/>
  <c r="Q42" i="2" s="1"/>
  <c r="M43" i="2"/>
  <c r="N43" i="2"/>
  <c r="P43" i="2" s="1"/>
  <c r="Q43" i="2" s="1"/>
  <c r="M44" i="2"/>
  <c r="N44" i="2"/>
  <c r="P44" i="2" s="1"/>
  <c r="Q44" i="2" s="1"/>
  <c r="M45" i="2"/>
  <c r="N45" i="2"/>
  <c r="P45" i="2" s="1"/>
  <c r="Q45" i="2" s="1"/>
  <c r="M46" i="2"/>
  <c r="N46" i="2"/>
  <c r="P46" i="2" s="1"/>
  <c r="Q46" i="2" s="1"/>
  <c r="M47" i="2"/>
  <c r="N47" i="2"/>
  <c r="P47" i="2" s="1"/>
  <c r="Q47" i="2" s="1"/>
  <c r="M48" i="2"/>
  <c r="N48" i="2"/>
  <c r="P48" i="2" s="1"/>
  <c r="Q48" i="2" s="1"/>
  <c r="M49" i="2"/>
  <c r="N49" i="2"/>
  <c r="P49" i="2" s="1"/>
  <c r="Q49" i="2" s="1"/>
  <c r="M50" i="2"/>
  <c r="N50" i="2"/>
  <c r="P50" i="2" s="1"/>
  <c r="Q50" i="2" s="1"/>
  <c r="M51" i="2"/>
  <c r="N51" i="2"/>
  <c r="P51" i="2" s="1"/>
  <c r="Q51" i="2" s="1"/>
  <c r="M52" i="2"/>
  <c r="N52" i="2"/>
  <c r="P52" i="2" s="1"/>
  <c r="Q52" i="2" s="1"/>
  <c r="M53" i="2"/>
  <c r="N53" i="2"/>
  <c r="P53" i="2" s="1"/>
  <c r="Q53" i="2" s="1"/>
  <c r="M54" i="2"/>
  <c r="N54" i="2"/>
  <c r="P54" i="2" s="1"/>
  <c r="Q54" i="2" s="1"/>
  <c r="M55" i="2"/>
  <c r="N55" i="2"/>
  <c r="P55" i="2" s="1"/>
  <c r="Q55" i="2" s="1"/>
  <c r="M56" i="2"/>
  <c r="N56" i="2"/>
  <c r="P56" i="2" s="1"/>
  <c r="Q56" i="2" s="1"/>
  <c r="M57" i="2"/>
  <c r="N57" i="2"/>
  <c r="P57" i="2" s="1"/>
  <c r="Q57" i="2" s="1"/>
  <c r="M58" i="2"/>
  <c r="N58" i="2"/>
  <c r="P58" i="2" s="1"/>
  <c r="Q58" i="2" s="1"/>
  <c r="M59" i="2"/>
  <c r="N59" i="2"/>
  <c r="P59" i="2" s="1"/>
  <c r="Q59" i="2" s="1"/>
  <c r="M60" i="2"/>
  <c r="N60" i="2"/>
  <c r="P60" i="2" s="1"/>
  <c r="Q60" i="2" s="1"/>
  <c r="M61" i="2"/>
  <c r="N61" i="2"/>
  <c r="P61" i="2" s="1"/>
  <c r="Q61" i="2" s="1"/>
  <c r="M62" i="2"/>
  <c r="N62" i="2"/>
  <c r="P62" i="2" s="1"/>
  <c r="Q62" i="2" s="1"/>
  <c r="M63" i="2"/>
  <c r="N63" i="2"/>
  <c r="P63" i="2" s="1"/>
  <c r="Q63" i="2" s="1"/>
  <c r="M64" i="2"/>
  <c r="N64" i="2"/>
  <c r="P64" i="2" s="1"/>
  <c r="Q64" i="2" s="1"/>
  <c r="M65" i="2"/>
  <c r="N65" i="2"/>
  <c r="P65" i="2" s="1"/>
  <c r="Q65" i="2" s="1"/>
  <c r="M66" i="2"/>
  <c r="N66" i="2"/>
  <c r="P66" i="2" s="1"/>
  <c r="Q66" i="2" s="1"/>
  <c r="M67" i="2"/>
  <c r="N67" i="2"/>
  <c r="P67" i="2" s="1"/>
  <c r="Q67" i="2" s="1"/>
  <c r="M68" i="2"/>
  <c r="N68" i="2"/>
  <c r="P68" i="2" s="1"/>
  <c r="Q68" i="2" s="1"/>
  <c r="M69" i="2"/>
  <c r="N69" i="2" s="1"/>
  <c r="P69" i="2" s="1"/>
  <c r="Q69" i="2" s="1"/>
  <c r="M70" i="2"/>
  <c r="N70" i="2"/>
  <c r="P70" i="2" s="1"/>
  <c r="Q70" i="2" s="1"/>
  <c r="M71" i="2"/>
  <c r="N71" i="2"/>
  <c r="P71" i="2" s="1"/>
  <c r="Q71" i="2" s="1"/>
  <c r="M72" i="2"/>
  <c r="N72" i="2"/>
  <c r="P72" i="2" s="1"/>
  <c r="Q72" i="2" s="1"/>
  <c r="M73" i="2"/>
  <c r="N73" i="2"/>
  <c r="P73" i="2" s="1"/>
  <c r="Q73" i="2" s="1"/>
  <c r="M74" i="2"/>
  <c r="N74" i="2"/>
  <c r="P74" i="2" s="1"/>
  <c r="Q74" i="2" s="1"/>
  <c r="M75" i="2"/>
  <c r="N75" i="2"/>
  <c r="P75" i="2" s="1"/>
  <c r="Q75" i="2" s="1"/>
  <c r="M76" i="2"/>
  <c r="N76" i="2" s="1"/>
  <c r="P76" i="2" s="1"/>
  <c r="Q76" i="2" s="1"/>
  <c r="M77" i="2"/>
  <c r="N77" i="2"/>
  <c r="P77" i="2" s="1"/>
  <c r="Q77" i="2" s="1"/>
  <c r="M78" i="2"/>
  <c r="N78" i="2"/>
  <c r="P78" i="2" s="1"/>
  <c r="Q78" i="2" s="1"/>
  <c r="M79" i="2"/>
  <c r="N79" i="2"/>
  <c r="P79" i="2" s="1"/>
  <c r="Q79" i="2" s="1"/>
  <c r="M80" i="2"/>
  <c r="N80" i="2"/>
  <c r="P80" i="2" s="1"/>
  <c r="Q80" i="2" s="1"/>
  <c r="M81" i="2"/>
  <c r="N81" i="2"/>
  <c r="P81" i="2" s="1"/>
  <c r="Q81" i="2" s="1"/>
  <c r="M82" i="2"/>
  <c r="N82" i="2"/>
  <c r="P82" i="2" s="1"/>
  <c r="Q82" i="2" s="1"/>
  <c r="M83" i="2"/>
  <c r="N83" i="2"/>
  <c r="P83" i="2" s="1"/>
  <c r="Q83" i="2" s="1"/>
  <c r="M84" i="2"/>
  <c r="N84" i="2"/>
  <c r="P84" i="2" s="1"/>
  <c r="Q84" i="2" s="1"/>
  <c r="M85" i="2"/>
  <c r="N85" i="2"/>
  <c r="P85" i="2" s="1"/>
  <c r="Q85" i="2" s="1"/>
  <c r="M86" i="2"/>
  <c r="N86" i="2"/>
  <c r="P86" i="2" s="1"/>
  <c r="Q86" i="2" s="1"/>
  <c r="M87" i="2"/>
  <c r="N87" i="2"/>
  <c r="P87" i="2" s="1"/>
  <c r="Q87" i="2" s="1"/>
  <c r="M95" i="2"/>
  <c r="N95" i="2"/>
  <c r="P95" i="2" s="1"/>
  <c r="Q95" i="2" s="1"/>
  <c r="M96" i="2"/>
  <c r="N96" i="2"/>
  <c r="P96" i="2" s="1"/>
  <c r="Q96" i="2" s="1"/>
  <c r="M97" i="2"/>
  <c r="N97" i="2"/>
  <c r="P97" i="2" s="1"/>
  <c r="Q97" i="2" s="1"/>
  <c r="M98" i="2"/>
  <c r="N98" i="2"/>
  <c r="P98" i="2" s="1"/>
  <c r="Q98" i="2" s="1"/>
  <c r="M99" i="2"/>
  <c r="N99" i="2"/>
  <c r="P99" i="2" s="1"/>
  <c r="Q99" i="2" s="1"/>
  <c r="M100" i="2"/>
  <c r="N100" i="2"/>
  <c r="P100" i="2" s="1"/>
  <c r="Q100" i="2" s="1"/>
  <c r="M101" i="2"/>
  <c r="N101" i="2"/>
  <c r="P101" i="2" s="1"/>
  <c r="Q101" i="2" s="1"/>
  <c r="M102" i="2"/>
  <c r="N102" i="2"/>
  <c r="P102" i="2" s="1"/>
  <c r="Q102" i="2" s="1"/>
  <c r="M103" i="2"/>
  <c r="N103" i="2"/>
  <c r="P103" i="2" s="1"/>
  <c r="Q103" i="2" s="1"/>
  <c r="M104" i="2"/>
  <c r="N104" i="2"/>
  <c r="P104" i="2" s="1"/>
  <c r="Q104" i="2" s="1"/>
  <c r="M105" i="2"/>
  <c r="N105" i="2"/>
  <c r="P105" i="2" s="1"/>
  <c r="Q105" i="2" s="1"/>
  <c r="M106" i="2"/>
  <c r="N106" i="2"/>
  <c r="P106" i="2" s="1"/>
  <c r="Q106" i="2" s="1"/>
  <c r="M107" i="2"/>
  <c r="N107" i="2"/>
  <c r="P107" i="2" s="1"/>
  <c r="Q107" i="2" s="1"/>
  <c r="M108" i="2"/>
  <c r="N108" i="2"/>
  <c r="P108" i="2" s="1"/>
  <c r="Q108" i="2" s="1"/>
  <c r="M109" i="2"/>
  <c r="N109" i="2"/>
  <c r="P109" i="2" s="1"/>
  <c r="Q109" i="2" s="1"/>
  <c r="M110" i="2"/>
  <c r="N110" i="2"/>
  <c r="P110" i="2" s="1"/>
  <c r="Q110" i="2" s="1"/>
  <c r="M111" i="2"/>
  <c r="N111" i="2" s="1"/>
  <c r="P111" i="2" s="1"/>
  <c r="Q111" i="2" s="1"/>
  <c r="M112" i="2"/>
  <c r="N112" i="2"/>
  <c r="P112" i="2" s="1"/>
  <c r="Q112" i="2" s="1"/>
  <c r="M113" i="2"/>
  <c r="N113" i="2"/>
  <c r="P113" i="2" s="1"/>
  <c r="Q113" i="2" s="1"/>
  <c r="M114" i="2"/>
  <c r="N114" i="2"/>
  <c r="P114" i="2" s="1"/>
  <c r="Q114" i="2" s="1"/>
  <c r="M115" i="2"/>
  <c r="N115" i="2"/>
  <c r="P115" i="2" s="1"/>
  <c r="Q115" i="2" s="1"/>
  <c r="M116" i="2"/>
  <c r="N116" i="2"/>
  <c r="P116" i="2" s="1"/>
  <c r="Q116" i="2" s="1"/>
  <c r="M117" i="2"/>
  <c r="N117" i="2"/>
  <c r="P117" i="2" s="1"/>
  <c r="Q117" i="2" s="1"/>
  <c r="M118" i="2"/>
  <c r="N118" i="2"/>
  <c r="P118" i="2" s="1"/>
  <c r="Q118" i="2" s="1"/>
  <c r="M119" i="2"/>
  <c r="N119" i="2"/>
  <c r="P119" i="2" s="1"/>
  <c r="Q119" i="2" s="1"/>
  <c r="M120" i="2"/>
  <c r="N120" i="2"/>
  <c r="P120" i="2" s="1"/>
  <c r="Q120" i="2" s="1"/>
  <c r="M121" i="2"/>
  <c r="N121" i="2"/>
  <c r="P121" i="2" s="1"/>
  <c r="Q121" i="2" s="1"/>
  <c r="M122" i="2"/>
  <c r="N122" i="2"/>
  <c r="P122" i="2" s="1"/>
  <c r="Q122" i="2" s="1"/>
  <c r="M123" i="2"/>
  <c r="N123" i="2"/>
  <c r="P123" i="2" s="1"/>
  <c r="Q123" i="2" s="1"/>
  <c r="M124" i="2"/>
  <c r="N124" i="2"/>
  <c r="P124" i="2" s="1"/>
  <c r="Q124" i="2" s="1"/>
  <c r="M125" i="2"/>
  <c r="N125" i="2"/>
  <c r="P125" i="2" s="1"/>
  <c r="Q125" i="2" s="1"/>
  <c r="M126" i="2"/>
  <c r="N126" i="2"/>
  <c r="P126" i="2" s="1"/>
  <c r="Q126" i="2" s="1"/>
  <c r="M127" i="2"/>
  <c r="N127" i="2"/>
  <c r="P127" i="2" s="1"/>
  <c r="Q127" i="2" s="1"/>
  <c r="M128" i="2"/>
  <c r="N128" i="2"/>
  <c r="P128" i="2" s="1"/>
  <c r="Q128" i="2" s="1"/>
  <c r="M129" i="2"/>
  <c r="N129" i="2"/>
  <c r="P129" i="2" s="1"/>
  <c r="Q129" i="2" s="1"/>
  <c r="M130" i="2"/>
  <c r="N130" i="2" s="1"/>
  <c r="P130" i="2" s="1"/>
  <c r="Q130" i="2" s="1"/>
  <c r="M131" i="2"/>
  <c r="N131" i="2" s="1"/>
  <c r="P131" i="2" s="1"/>
  <c r="Q131" i="2" s="1"/>
  <c r="M132" i="2"/>
  <c r="N132" i="2"/>
  <c r="P132" i="2" s="1"/>
  <c r="Q132" i="2" s="1"/>
  <c r="M133" i="2"/>
  <c r="N133" i="2" s="1"/>
  <c r="P133" i="2" s="1"/>
  <c r="Q133" i="2" s="1"/>
  <c r="M134" i="2"/>
  <c r="N134" i="2"/>
  <c r="P134" i="2" s="1"/>
  <c r="Q134" i="2" s="1"/>
  <c r="M135" i="2"/>
  <c r="N135" i="2"/>
  <c r="P135" i="2" s="1"/>
  <c r="Q135" i="2" s="1"/>
  <c r="M136" i="2"/>
  <c r="N136" i="2"/>
  <c r="P136" i="2" s="1"/>
  <c r="Q136" i="2" s="1"/>
  <c r="M137" i="2"/>
  <c r="N137" i="2"/>
  <c r="P137" i="2" s="1"/>
  <c r="Q137" i="2" s="1"/>
  <c r="M138" i="2"/>
  <c r="N138" i="2"/>
  <c r="P138" i="2" s="1"/>
  <c r="Q138" i="2" s="1"/>
  <c r="M139" i="2"/>
  <c r="N139" i="2" s="1"/>
  <c r="P139" i="2" s="1"/>
  <c r="Q139" i="2" s="1"/>
  <c r="M140" i="2"/>
  <c r="N140" i="2"/>
  <c r="P140" i="2" s="1"/>
  <c r="Q140" i="2" s="1"/>
  <c r="M141" i="2"/>
  <c r="N141" i="2"/>
  <c r="P141" i="2" s="1"/>
  <c r="Q141" i="2" s="1"/>
  <c r="M142" i="2"/>
  <c r="N142" i="2"/>
  <c r="P142" i="2" s="1"/>
  <c r="Q142" i="2" s="1"/>
  <c r="M143" i="2"/>
  <c r="N143" i="2"/>
  <c r="P143" i="2" s="1"/>
  <c r="Q143" i="2" s="1"/>
  <c r="M144" i="2"/>
  <c r="N144" i="2"/>
  <c r="P144" i="2" s="1"/>
  <c r="Q144" i="2" s="1"/>
  <c r="M145" i="2"/>
  <c r="N145" i="2"/>
  <c r="P145" i="2" s="1"/>
  <c r="Q145" i="2" s="1"/>
  <c r="M146" i="2"/>
  <c r="N146" i="2" s="1"/>
  <c r="P146" i="2" s="1"/>
  <c r="Q146" i="2" s="1"/>
  <c r="M147" i="2"/>
  <c r="N147" i="2"/>
  <c r="P147" i="2" s="1"/>
  <c r="Q147" i="2" s="1"/>
  <c r="M148" i="2"/>
  <c r="N148" i="2"/>
  <c r="P148" i="2" s="1"/>
  <c r="Q148" i="2" s="1"/>
  <c r="M149" i="2"/>
  <c r="N149" i="2"/>
  <c r="P149" i="2" s="1"/>
  <c r="Q149" i="2" s="1"/>
  <c r="M150" i="2"/>
  <c r="N150" i="2"/>
  <c r="P150" i="2" s="1"/>
  <c r="Q150" i="2" s="1"/>
  <c r="M151" i="2"/>
  <c r="N151" i="2"/>
  <c r="P151" i="2" s="1"/>
  <c r="Q151" i="2" s="1"/>
  <c r="M152" i="2"/>
  <c r="N152" i="2"/>
  <c r="P152" i="2" s="1"/>
  <c r="Q152" i="2" s="1"/>
  <c r="M153" i="2"/>
  <c r="N153" i="2"/>
  <c r="P153" i="2" s="1"/>
  <c r="Q153" i="2" s="1"/>
  <c r="M154" i="2"/>
  <c r="N154" i="2"/>
  <c r="P154" i="2" s="1"/>
  <c r="Q154" i="2" s="1"/>
  <c r="M155" i="2"/>
  <c r="N155" i="2"/>
  <c r="P155" i="2" s="1"/>
  <c r="Q155" i="2" s="1"/>
  <c r="M156" i="2"/>
  <c r="N156" i="2" s="1"/>
  <c r="P156" i="2" s="1"/>
  <c r="Q156" i="2" s="1"/>
  <c r="M157" i="2"/>
  <c r="N157" i="2"/>
  <c r="P157" i="2" s="1"/>
  <c r="Q157" i="2" s="1"/>
  <c r="M158" i="2"/>
  <c r="N158" i="2"/>
  <c r="P158" i="2" s="1"/>
  <c r="Q158" i="2" s="1"/>
  <c r="M159" i="2"/>
  <c r="N159" i="2"/>
  <c r="P159" i="2" s="1"/>
  <c r="Q159" i="2" s="1"/>
  <c r="M160" i="2"/>
  <c r="N160" i="2"/>
  <c r="P160" i="2" s="1"/>
  <c r="Q160" i="2" s="1"/>
  <c r="M161" i="2"/>
  <c r="N161" i="2"/>
  <c r="P161" i="2" s="1"/>
  <c r="Q161" i="2" s="1"/>
  <c r="M162" i="2"/>
  <c r="N162" i="2"/>
  <c r="P162" i="2" s="1"/>
  <c r="Q162" i="2" s="1"/>
  <c r="M163" i="2"/>
  <c r="N163" i="2"/>
  <c r="P163" i="2" s="1"/>
  <c r="Q163" i="2" s="1"/>
  <c r="M164" i="2"/>
  <c r="N164" i="2"/>
  <c r="P164" i="2" s="1"/>
  <c r="Q164" i="2" s="1"/>
  <c r="M165" i="2"/>
  <c r="N165" i="2"/>
  <c r="P165" i="2" s="1"/>
  <c r="Q165" i="2" s="1"/>
  <c r="M166" i="2"/>
  <c r="N166" i="2"/>
  <c r="P166" i="2" s="1"/>
  <c r="Q166" i="2" s="1"/>
  <c r="M167" i="2"/>
  <c r="N167" i="2" s="1"/>
  <c r="P167" i="2" s="1"/>
  <c r="Q167" i="2" s="1"/>
  <c r="M168" i="2"/>
  <c r="N168" i="2"/>
  <c r="P168" i="2" s="1"/>
  <c r="Q168" i="2" s="1"/>
  <c r="M169" i="2"/>
  <c r="N169" i="2"/>
  <c r="P169" i="2" s="1"/>
  <c r="Q169" i="2" s="1"/>
  <c r="M170" i="2"/>
  <c r="N170" i="2"/>
  <c r="P170" i="2" s="1"/>
  <c r="Q170" i="2" s="1"/>
  <c r="M171" i="2"/>
  <c r="N171" i="2"/>
  <c r="P171" i="2" s="1"/>
  <c r="Q171" i="2" s="1"/>
  <c r="M172" i="2"/>
  <c r="N172" i="2"/>
  <c r="P172" i="2" s="1"/>
  <c r="Q172" i="2" s="1"/>
  <c r="M173" i="2"/>
  <c r="N173" i="2"/>
  <c r="P173" i="2" s="1"/>
  <c r="Q173" i="2" s="1"/>
  <c r="M174" i="2"/>
  <c r="N174" i="2"/>
  <c r="P174" i="2" s="1"/>
  <c r="Q174" i="2" s="1"/>
  <c r="M175" i="2"/>
  <c r="N175" i="2"/>
  <c r="P175" i="2" s="1"/>
  <c r="Q175" i="2" s="1"/>
  <c r="M176" i="2"/>
  <c r="N176" i="2"/>
  <c r="P176" i="2" s="1"/>
  <c r="Q176" i="2" s="1"/>
  <c r="M177" i="2"/>
  <c r="N177" i="2"/>
  <c r="P177" i="2" s="1"/>
  <c r="Q177" i="2" s="1"/>
  <c r="M178" i="2"/>
  <c r="N178" i="2"/>
  <c r="P178" i="2" s="1"/>
  <c r="Q178" i="2" s="1"/>
  <c r="M179" i="2"/>
  <c r="N179" i="2"/>
  <c r="P179" i="2" s="1"/>
  <c r="Q179" i="2" s="1"/>
  <c r="M180" i="2"/>
  <c r="N180" i="2"/>
  <c r="P180" i="2" s="1"/>
  <c r="Q180" i="2" s="1"/>
  <c r="M181" i="2"/>
  <c r="N181" i="2"/>
  <c r="P181" i="2" s="1"/>
  <c r="Q181" i="2" s="1"/>
  <c r="M182" i="2"/>
  <c r="N182" i="2"/>
  <c r="P182" i="2" s="1"/>
  <c r="Q182" i="2" s="1"/>
  <c r="M183" i="2"/>
  <c r="N183" i="2" s="1"/>
  <c r="P183" i="2" s="1"/>
  <c r="Q183" i="2" s="1"/>
  <c r="M184" i="2"/>
  <c r="N184" i="2"/>
  <c r="P184" i="2" s="1"/>
  <c r="Q184" i="2" s="1"/>
  <c r="M185" i="2"/>
  <c r="N185" i="2"/>
  <c r="P185" i="2" s="1"/>
  <c r="Q185" i="2" s="1"/>
  <c r="M186" i="2"/>
  <c r="N186" i="2"/>
  <c r="P186" i="2" s="1"/>
  <c r="Q186" i="2" s="1"/>
  <c r="M187" i="2"/>
  <c r="N187" i="2"/>
  <c r="P187" i="2" s="1"/>
  <c r="Q187" i="2" s="1"/>
  <c r="M188" i="2"/>
  <c r="N188" i="2"/>
  <c r="P188" i="2" s="1"/>
  <c r="Q188" i="2" s="1"/>
  <c r="M189" i="2"/>
  <c r="N189" i="2"/>
  <c r="P189" i="2" s="1"/>
  <c r="Q189" i="2" s="1"/>
  <c r="M190" i="2"/>
  <c r="N190" i="2"/>
  <c r="P190" i="2" s="1"/>
  <c r="Q190" i="2" s="1"/>
  <c r="M191" i="2"/>
  <c r="N191" i="2"/>
  <c r="P191" i="2" s="1"/>
  <c r="Q191" i="2" s="1"/>
  <c r="M192" i="2"/>
  <c r="N192" i="2"/>
  <c r="P192" i="2" s="1"/>
  <c r="Q192" i="2" s="1"/>
  <c r="M193" i="2"/>
  <c r="N193" i="2"/>
  <c r="P193" i="2" s="1"/>
  <c r="Q193" i="2" s="1"/>
  <c r="M194" i="2"/>
  <c r="N194" i="2"/>
  <c r="P194" i="2" s="1"/>
  <c r="Q194" i="2" s="1"/>
  <c r="M195" i="2"/>
  <c r="N195" i="2"/>
  <c r="P195" i="2" s="1"/>
  <c r="Q195" i="2" s="1"/>
  <c r="M196" i="2"/>
  <c r="N196" i="2"/>
  <c r="P196" i="2" s="1"/>
  <c r="Q196" i="2" s="1"/>
  <c r="M197" i="2"/>
  <c r="N197" i="2"/>
  <c r="P197" i="2" s="1"/>
  <c r="Q197" i="2" s="1"/>
  <c r="M198" i="2"/>
  <c r="N198" i="2"/>
  <c r="P198" i="2" s="1"/>
  <c r="Q198" i="2" s="1"/>
  <c r="M199" i="2"/>
  <c r="N199" i="2"/>
  <c r="P199" i="2" s="1"/>
  <c r="Q199" i="2" s="1"/>
  <c r="M200" i="2"/>
  <c r="N200" i="2"/>
  <c r="P200" i="2" s="1"/>
  <c r="Q200" i="2" s="1"/>
  <c r="M201" i="2"/>
  <c r="N201" i="2"/>
  <c r="P201" i="2" s="1"/>
  <c r="Q201" i="2" s="1"/>
  <c r="M202" i="2"/>
  <c r="N202" i="2"/>
  <c r="P202" i="2" s="1"/>
  <c r="Q202" i="2" s="1"/>
  <c r="M203" i="2"/>
  <c r="N203" i="2" s="1"/>
  <c r="P203" i="2" s="1"/>
  <c r="Q203" i="2" s="1"/>
  <c r="M204" i="2"/>
  <c r="N204" i="2"/>
  <c r="P204" i="2" s="1"/>
  <c r="Q204" i="2" s="1"/>
  <c r="M205" i="2"/>
  <c r="N205" i="2"/>
  <c r="P205" i="2" s="1"/>
  <c r="Q205" i="2" s="1"/>
  <c r="M206" i="2"/>
  <c r="N206" i="2"/>
  <c r="P206" i="2" s="1"/>
  <c r="Q206" i="2" s="1"/>
  <c r="M207" i="2"/>
  <c r="N207" i="2"/>
  <c r="P207" i="2" s="1"/>
  <c r="Q207" i="2" s="1"/>
  <c r="M208" i="2"/>
  <c r="N208" i="2"/>
  <c r="P208" i="2" s="1"/>
  <c r="Q208" i="2" s="1"/>
  <c r="M209" i="2"/>
  <c r="N209" i="2"/>
  <c r="P209" i="2" s="1"/>
  <c r="Q209" i="2" s="1"/>
  <c r="M210" i="2"/>
  <c r="N210" i="2"/>
  <c r="P210" i="2" s="1"/>
  <c r="Q210" i="2" s="1"/>
  <c r="M211" i="2"/>
  <c r="N211" i="2"/>
  <c r="P211" i="2" s="1"/>
  <c r="Q211" i="2" s="1"/>
  <c r="M212" i="2"/>
  <c r="N212" i="2"/>
  <c r="P212" i="2" s="1"/>
  <c r="Q212" i="2" s="1"/>
  <c r="M213" i="2"/>
  <c r="N213" i="2"/>
  <c r="P213" i="2" s="1"/>
  <c r="Q213" i="2" s="1"/>
  <c r="M214" i="2"/>
  <c r="N214" i="2"/>
  <c r="P214" i="2" s="1"/>
  <c r="Q214" i="2" s="1"/>
  <c r="M215" i="2"/>
  <c r="N215" i="2"/>
  <c r="P215" i="2" s="1"/>
  <c r="Q215" i="2" s="1"/>
  <c r="M216" i="2"/>
  <c r="N216" i="2"/>
  <c r="P216" i="2" s="1"/>
  <c r="Q216" i="2" s="1"/>
  <c r="M217" i="2"/>
  <c r="N217" i="2"/>
  <c r="P217" i="2" s="1"/>
  <c r="Q217" i="2" s="1"/>
  <c r="M218" i="2"/>
  <c r="N218" i="2"/>
  <c r="P218" i="2" s="1"/>
  <c r="Q218" i="2" s="1"/>
  <c r="M219" i="2"/>
  <c r="N219" i="2"/>
  <c r="P219" i="2" s="1"/>
  <c r="Q219" i="2" s="1"/>
  <c r="M220" i="2"/>
  <c r="N220" i="2"/>
  <c r="P220" i="2" s="1"/>
  <c r="Q220" i="2" s="1"/>
  <c r="M221" i="2"/>
  <c r="N221" i="2"/>
  <c r="P221" i="2" s="1"/>
  <c r="Q221" i="2" s="1"/>
  <c r="M222" i="2"/>
  <c r="N222" i="2"/>
  <c r="P222" i="2" s="1"/>
  <c r="Q222" i="2" s="1"/>
  <c r="M223" i="2"/>
  <c r="N223" i="2"/>
  <c r="P223" i="2" s="1"/>
  <c r="Q223" i="2" s="1"/>
  <c r="M224" i="2"/>
  <c r="N224" i="2"/>
  <c r="P224" i="2" s="1"/>
  <c r="Q224" i="2" s="1"/>
  <c r="M225" i="2"/>
  <c r="N225" i="2"/>
  <c r="P225" i="2" s="1"/>
  <c r="Q225" i="2" s="1"/>
  <c r="M226" i="2"/>
  <c r="N226" i="2"/>
  <c r="P226" i="2" s="1"/>
  <c r="Q226" i="2" s="1"/>
  <c r="M227" i="2"/>
  <c r="N227" i="2"/>
  <c r="P227" i="2" s="1"/>
  <c r="Q227" i="2" s="1"/>
  <c r="M228" i="2"/>
  <c r="N228" i="2"/>
  <c r="P228" i="2" s="1"/>
  <c r="Q228" i="2" s="1"/>
  <c r="M229" i="2"/>
  <c r="N229" i="2"/>
  <c r="P229" i="2" s="1"/>
  <c r="Q229" i="2" s="1"/>
  <c r="M230" i="2"/>
  <c r="N230" i="2"/>
  <c r="P230" i="2" s="1"/>
  <c r="Q230" i="2" s="1"/>
  <c r="M231" i="2"/>
  <c r="N231" i="2"/>
  <c r="P231" i="2" s="1"/>
  <c r="Q231" i="2" s="1"/>
  <c r="M232" i="2"/>
  <c r="N232" i="2"/>
  <c r="P232" i="2" s="1"/>
  <c r="Q232" i="2" s="1"/>
  <c r="M233" i="2"/>
  <c r="N233" i="2" s="1"/>
  <c r="P233" i="2" s="1"/>
  <c r="Q233" i="2" s="1"/>
  <c r="M234" i="2"/>
  <c r="N234" i="2"/>
  <c r="P234" i="2" s="1"/>
  <c r="Q234" i="2" s="1"/>
  <c r="M235" i="2"/>
  <c r="N235" i="2"/>
  <c r="P235" i="2" s="1"/>
  <c r="Q235" i="2" s="1"/>
  <c r="M236" i="2"/>
  <c r="N236" i="2"/>
  <c r="P236" i="2" s="1"/>
  <c r="Q236" i="2" s="1"/>
  <c r="M237" i="2"/>
  <c r="N237" i="2"/>
  <c r="P237" i="2" s="1"/>
  <c r="Q237" i="2" s="1"/>
  <c r="M238" i="2"/>
  <c r="N238" i="2"/>
  <c r="P238" i="2" s="1"/>
  <c r="Q238" i="2" s="1"/>
  <c r="M239" i="2"/>
  <c r="N239" i="2"/>
  <c r="P239" i="2" s="1"/>
  <c r="Q239" i="2" s="1"/>
  <c r="M240" i="2"/>
  <c r="N240" i="2"/>
  <c r="P240" i="2" s="1"/>
  <c r="Q240" i="2" s="1"/>
  <c r="M241" i="2"/>
  <c r="N241" i="2" s="1"/>
  <c r="P241" i="2" s="1"/>
  <c r="Q241" i="2" s="1"/>
  <c r="M242" i="2"/>
  <c r="N242" i="2"/>
  <c r="P242" i="2" s="1"/>
  <c r="Q242" i="2" s="1"/>
  <c r="M243" i="2"/>
  <c r="N243" i="2"/>
  <c r="P243" i="2" s="1"/>
  <c r="Q243" i="2" s="1"/>
  <c r="M244" i="2"/>
  <c r="N244" i="2"/>
  <c r="P244" i="2" s="1"/>
  <c r="Q244" i="2" s="1"/>
  <c r="M245" i="2"/>
  <c r="N245" i="2"/>
  <c r="P245" i="2" s="1"/>
  <c r="Q245" i="2" s="1"/>
  <c r="M246" i="2"/>
  <c r="N246" i="2"/>
  <c r="P246" i="2" s="1"/>
  <c r="Q246" i="2" s="1"/>
  <c r="M247" i="2"/>
  <c r="N247" i="2" s="1"/>
  <c r="P247" i="2" s="1"/>
  <c r="Q247" i="2" s="1"/>
  <c r="M248" i="2"/>
  <c r="N248" i="2"/>
  <c r="P248" i="2" s="1"/>
  <c r="Q248" i="2" s="1"/>
  <c r="M249" i="2"/>
  <c r="N249" i="2"/>
  <c r="P249" i="2" s="1"/>
  <c r="Q249" i="2" s="1"/>
  <c r="M250" i="2"/>
  <c r="N250" i="2"/>
  <c r="P250" i="2" s="1"/>
  <c r="Q250" i="2" s="1"/>
  <c r="M251" i="2"/>
  <c r="N251" i="2"/>
  <c r="P251" i="2" s="1"/>
  <c r="Q251" i="2" s="1"/>
  <c r="M252" i="2"/>
  <c r="N252" i="2"/>
  <c r="P252" i="2" s="1"/>
  <c r="Q252" i="2" s="1"/>
  <c r="M253" i="2"/>
  <c r="N253" i="2"/>
  <c r="P253" i="2" s="1"/>
  <c r="Q253" i="2" s="1"/>
  <c r="M254" i="2"/>
  <c r="N254" i="2"/>
  <c r="P254" i="2" s="1"/>
  <c r="Q254" i="2" s="1"/>
  <c r="M255" i="2"/>
  <c r="N255" i="2"/>
  <c r="P255" i="2" s="1"/>
  <c r="Q255" i="2" s="1"/>
  <c r="M256" i="2"/>
  <c r="N256" i="2"/>
  <c r="P256" i="2" s="1"/>
  <c r="Q256" i="2" s="1"/>
  <c r="M257" i="2"/>
  <c r="N257" i="2"/>
  <c r="P257" i="2" s="1"/>
  <c r="Q257" i="2" s="1"/>
  <c r="M258" i="2"/>
  <c r="N258" i="2"/>
  <c r="P258" i="2" s="1"/>
  <c r="Q258" i="2" s="1"/>
  <c r="M259" i="2"/>
  <c r="N259" i="2"/>
  <c r="P259" i="2" s="1"/>
  <c r="Q259" i="2" s="1"/>
  <c r="M260" i="2"/>
  <c r="N260" i="2"/>
  <c r="P260" i="2" s="1"/>
  <c r="Q260" i="2" s="1"/>
  <c r="M261" i="2"/>
  <c r="N261" i="2"/>
  <c r="P261" i="2" s="1"/>
  <c r="Q261" i="2" s="1"/>
  <c r="M262" i="2"/>
  <c r="N262" i="2"/>
  <c r="P262" i="2" s="1"/>
  <c r="Q262" i="2" s="1"/>
  <c r="M263" i="2"/>
  <c r="N263" i="2"/>
  <c r="P263" i="2" s="1"/>
  <c r="Q263" i="2" s="1"/>
  <c r="M264" i="2"/>
  <c r="N264" i="2"/>
  <c r="P264" i="2" s="1"/>
  <c r="Q264" i="2" s="1"/>
  <c r="M265" i="2"/>
  <c r="N265" i="2"/>
  <c r="P265" i="2" s="1"/>
  <c r="Q265" i="2" s="1"/>
  <c r="M266" i="2"/>
  <c r="N266" i="2"/>
  <c r="P266" i="2" s="1"/>
  <c r="Q266" i="2" s="1"/>
  <c r="M267" i="2"/>
  <c r="N267" i="2"/>
  <c r="P267" i="2" s="1"/>
  <c r="Q267" i="2" s="1"/>
  <c r="M268" i="2"/>
  <c r="N268" i="2"/>
  <c r="P268" i="2" s="1"/>
  <c r="Q268" i="2" s="1"/>
  <c r="M269" i="2"/>
  <c r="N269" i="2"/>
  <c r="P269" i="2" s="1"/>
  <c r="Q269" i="2" s="1"/>
  <c r="M270" i="2"/>
  <c r="N270" i="2"/>
  <c r="P270" i="2" s="1"/>
  <c r="Q270" i="2" s="1"/>
  <c r="M271" i="2"/>
  <c r="N271" i="2"/>
  <c r="P271" i="2" s="1"/>
  <c r="Q271" i="2" s="1"/>
  <c r="M272" i="2"/>
  <c r="N272" i="2"/>
  <c r="P272" i="2" s="1"/>
  <c r="Q272" i="2" s="1"/>
  <c r="M273" i="2"/>
  <c r="N273" i="2"/>
  <c r="P273" i="2" s="1"/>
  <c r="Q273" i="2" s="1"/>
  <c r="M274" i="2"/>
  <c r="N274" i="2"/>
  <c r="P274" i="2" s="1"/>
  <c r="Q274" i="2" s="1"/>
  <c r="M275" i="2"/>
  <c r="N275" i="2"/>
  <c r="P275" i="2" s="1"/>
  <c r="Q275" i="2" s="1"/>
  <c r="M276" i="2"/>
  <c r="N276" i="2"/>
  <c r="P276" i="2" s="1"/>
  <c r="Q276" i="2" s="1"/>
  <c r="M277" i="2"/>
  <c r="N277" i="2"/>
  <c r="P277" i="2" s="1"/>
  <c r="Q277" i="2" s="1"/>
  <c r="M278" i="2"/>
  <c r="N278" i="2"/>
  <c r="P278" i="2" s="1"/>
  <c r="Q278" i="2" s="1"/>
  <c r="M279" i="2"/>
  <c r="N279" i="2"/>
  <c r="P279" i="2" s="1"/>
  <c r="Q279" i="2" s="1"/>
  <c r="M280" i="2"/>
  <c r="N280" i="2"/>
  <c r="P280" i="2" s="1"/>
  <c r="Q280" i="2" s="1"/>
  <c r="M281" i="2"/>
  <c r="N281" i="2"/>
  <c r="P281" i="2" s="1"/>
  <c r="Q281" i="2" s="1"/>
  <c r="M282" i="2"/>
  <c r="N282" i="2"/>
  <c r="P282" i="2" s="1"/>
  <c r="Q282" i="2" s="1"/>
  <c r="M283" i="2"/>
  <c r="N283" i="2"/>
  <c r="P283" i="2" s="1"/>
  <c r="Q283" i="2" s="1"/>
  <c r="M284" i="2"/>
  <c r="N284" i="2"/>
  <c r="P284" i="2" s="1"/>
  <c r="Q284" i="2" s="1"/>
  <c r="M285" i="2"/>
  <c r="N285" i="2"/>
  <c r="P285" i="2" s="1"/>
  <c r="Q285" i="2" s="1"/>
  <c r="M286" i="2"/>
  <c r="N286" i="2"/>
  <c r="P286" i="2" s="1"/>
  <c r="Q286" i="2" s="1"/>
  <c r="M287" i="2"/>
  <c r="N287" i="2"/>
  <c r="P287" i="2" s="1"/>
  <c r="Q287" i="2" s="1"/>
  <c r="M288" i="2"/>
  <c r="N288" i="2"/>
  <c r="P288" i="2" s="1"/>
  <c r="Q288" i="2" s="1"/>
  <c r="M289" i="2"/>
  <c r="N289" i="2"/>
  <c r="P289" i="2" s="1"/>
  <c r="Q289" i="2" s="1"/>
  <c r="M290" i="2"/>
  <c r="N290" i="2"/>
  <c r="P290" i="2" s="1"/>
  <c r="Q290" i="2" s="1"/>
  <c r="M291" i="2"/>
  <c r="N291" i="2"/>
  <c r="P291" i="2" s="1"/>
  <c r="Q291" i="2" s="1"/>
  <c r="M292" i="2"/>
  <c r="N292" i="2" s="1"/>
  <c r="P292" i="2" s="1"/>
  <c r="Q292" i="2" s="1"/>
  <c r="M293" i="2"/>
  <c r="N293" i="2" s="1"/>
  <c r="P293" i="2" s="1"/>
  <c r="Q293" i="2" s="1"/>
  <c r="M294" i="2"/>
  <c r="N294" i="2"/>
  <c r="P294" i="2" s="1"/>
  <c r="Q294" i="2" s="1"/>
  <c r="M295" i="2"/>
  <c r="N295" i="2"/>
  <c r="P295" i="2" s="1"/>
  <c r="Q295" i="2" s="1"/>
  <c r="M296" i="2"/>
  <c r="N296" i="2" s="1"/>
  <c r="P296" i="2" s="1"/>
  <c r="Q296" i="2" s="1"/>
  <c r="M297" i="2"/>
  <c r="N297" i="2"/>
  <c r="P297" i="2" s="1"/>
  <c r="Q297" i="2" s="1"/>
  <c r="M298" i="2"/>
  <c r="N298" i="2" s="1"/>
  <c r="P298" i="2" s="1"/>
  <c r="Q298" i="2" s="1"/>
  <c r="M299" i="2"/>
  <c r="N299" i="2"/>
  <c r="P299" i="2" s="1"/>
  <c r="Q299" i="2" s="1"/>
  <c r="M300" i="2"/>
  <c r="N300" i="2"/>
  <c r="P300" i="2" s="1"/>
  <c r="Q300" i="2" s="1"/>
  <c r="M301" i="2"/>
  <c r="N301" i="2"/>
  <c r="P301" i="2" s="1"/>
  <c r="Q301" i="2" s="1"/>
  <c r="M302" i="2"/>
  <c r="N302" i="2"/>
  <c r="P302" i="2" s="1"/>
  <c r="Q302" i="2" s="1"/>
  <c r="M303" i="2"/>
  <c r="N303" i="2"/>
  <c r="P303" i="2" s="1"/>
  <c r="Q303" i="2" s="1"/>
  <c r="M304" i="2"/>
  <c r="N304" i="2"/>
  <c r="P304" i="2" s="1"/>
  <c r="Q304" i="2" s="1"/>
  <c r="M305" i="2"/>
  <c r="N305" i="2"/>
  <c r="P305" i="2" s="1"/>
  <c r="Q305" i="2" s="1"/>
  <c r="M306" i="2"/>
  <c r="N306" i="2"/>
  <c r="P306" i="2" s="1"/>
  <c r="Q306" i="2" s="1"/>
  <c r="M307" i="2"/>
  <c r="N307" i="2"/>
  <c r="P307" i="2" s="1"/>
  <c r="Q307" i="2" s="1"/>
  <c r="M308" i="2"/>
  <c r="N308" i="2"/>
  <c r="P308" i="2" s="1"/>
  <c r="Q308" i="2" s="1"/>
  <c r="M309" i="2"/>
  <c r="N309" i="2"/>
  <c r="P309" i="2" s="1"/>
  <c r="Q309" i="2" s="1"/>
  <c r="M310" i="2"/>
  <c r="N310" i="2"/>
  <c r="P310" i="2" s="1"/>
  <c r="Q310" i="2" s="1"/>
  <c r="M311" i="2"/>
  <c r="N311" i="2"/>
  <c r="P311" i="2" s="1"/>
  <c r="Q311" i="2" s="1"/>
  <c r="M312" i="2"/>
  <c r="N312" i="2"/>
  <c r="P312" i="2" s="1"/>
  <c r="Q312" i="2" s="1"/>
  <c r="M313" i="2"/>
  <c r="N313" i="2"/>
  <c r="P313" i="2" s="1"/>
  <c r="Q313" i="2" s="1"/>
  <c r="M314" i="2"/>
  <c r="N314" i="2"/>
  <c r="P314" i="2" s="1"/>
  <c r="Q314" i="2" s="1"/>
  <c r="M315" i="2"/>
  <c r="N315" i="2"/>
  <c r="P315" i="2" s="1"/>
  <c r="Q315" i="2" s="1"/>
  <c r="M316" i="2"/>
  <c r="N316" i="2"/>
  <c r="P316" i="2" s="1"/>
  <c r="Q316" i="2" s="1"/>
  <c r="M317" i="2"/>
  <c r="N317" i="2"/>
  <c r="P317" i="2" s="1"/>
  <c r="Q317" i="2" s="1"/>
  <c r="M318" i="2"/>
  <c r="N318" i="2"/>
  <c r="P318" i="2" s="1"/>
  <c r="Q318" i="2" s="1"/>
  <c r="M319" i="2"/>
  <c r="N319" i="2"/>
  <c r="P319" i="2" s="1"/>
  <c r="Q319" i="2" s="1"/>
  <c r="M320" i="2"/>
  <c r="N320" i="2"/>
  <c r="P320" i="2" s="1"/>
  <c r="Q320" i="2" s="1"/>
  <c r="M321" i="2"/>
  <c r="N321" i="2"/>
  <c r="P321" i="2" s="1"/>
  <c r="Q321" i="2" s="1"/>
  <c r="M322" i="2"/>
  <c r="N322" i="2"/>
  <c r="P322" i="2" s="1"/>
  <c r="Q322" i="2" s="1"/>
  <c r="M323" i="2"/>
  <c r="N323" i="2"/>
  <c r="P323" i="2" s="1"/>
  <c r="Q323" i="2" s="1"/>
  <c r="M324" i="2"/>
  <c r="N324" i="2"/>
  <c r="P324" i="2" s="1"/>
  <c r="Q324" i="2" s="1"/>
  <c r="M325" i="2"/>
  <c r="N325" i="2"/>
  <c r="P325" i="2" s="1"/>
  <c r="Q325" i="2" s="1"/>
  <c r="M326" i="2"/>
  <c r="N326" i="2"/>
  <c r="P326" i="2" s="1"/>
  <c r="Q326" i="2" s="1"/>
  <c r="M327" i="2"/>
  <c r="N327" i="2"/>
  <c r="P327" i="2" s="1"/>
  <c r="Q327" i="2" s="1"/>
  <c r="M328" i="2"/>
  <c r="N328" i="2" s="1"/>
  <c r="P328" i="2" s="1"/>
  <c r="Q328" i="2" s="1"/>
  <c r="M329" i="2"/>
  <c r="N329" i="2" s="1"/>
  <c r="P329" i="2" s="1"/>
  <c r="Q329" i="2" s="1"/>
  <c r="M330" i="2"/>
  <c r="N330" i="2"/>
  <c r="P330" i="2" s="1"/>
  <c r="Q330" i="2" s="1"/>
  <c r="M331" i="2"/>
  <c r="N331" i="2"/>
  <c r="P331" i="2" s="1"/>
  <c r="Q331" i="2" s="1"/>
  <c r="M332" i="2"/>
  <c r="N332" i="2"/>
  <c r="P332" i="2" s="1"/>
  <c r="Q332" i="2" s="1"/>
  <c r="M333" i="2"/>
  <c r="N333" i="2"/>
  <c r="P333" i="2" s="1"/>
  <c r="Q333" i="2" s="1"/>
  <c r="M334" i="2"/>
  <c r="N334" i="2" s="1"/>
  <c r="P334" i="2" s="1"/>
  <c r="Q334" i="2" s="1"/>
  <c r="M335" i="2"/>
  <c r="N335" i="2"/>
  <c r="P335" i="2" s="1"/>
  <c r="Q335" i="2" s="1"/>
  <c r="M336" i="2"/>
  <c r="N336" i="2" s="1"/>
  <c r="P336" i="2" s="1"/>
  <c r="Q336" i="2" s="1"/>
  <c r="M337" i="2"/>
  <c r="N337" i="2"/>
  <c r="P337" i="2" s="1"/>
  <c r="Q337" i="2" s="1"/>
  <c r="M338" i="2"/>
  <c r="N338" i="2"/>
  <c r="P338" i="2" s="1"/>
  <c r="Q338" i="2" s="1"/>
  <c r="M339" i="2"/>
  <c r="N339" i="2"/>
  <c r="P339" i="2" s="1"/>
  <c r="Q339" i="2" s="1"/>
  <c r="M340" i="2"/>
  <c r="N340" i="2"/>
  <c r="P340" i="2" s="1"/>
  <c r="Q340" i="2" s="1"/>
  <c r="M341" i="2"/>
  <c r="N341" i="2"/>
  <c r="P341" i="2" s="1"/>
  <c r="Q341" i="2" s="1"/>
  <c r="M342" i="2"/>
  <c r="N342" i="2"/>
  <c r="P342" i="2" s="1"/>
  <c r="Q342" i="2" s="1"/>
  <c r="M343" i="2"/>
  <c r="N343" i="2"/>
  <c r="P343" i="2" s="1"/>
  <c r="Q343" i="2" s="1"/>
  <c r="M344" i="2"/>
  <c r="N344" i="2"/>
  <c r="P344" i="2" s="1"/>
  <c r="Q344" i="2" s="1"/>
  <c r="M345" i="2"/>
  <c r="N345" i="2"/>
  <c r="P345" i="2" s="1"/>
  <c r="Q345" i="2" s="1"/>
  <c r="M346" i="2"/>
  <c r="N346" i="2" s="1"/>
  <c r="P346" i="2" s="1"/>
  <c r="Q346" i="2" s="1"/>
  <c r="M347" i="2"/>
  <c r="N347" i="2"/>
  <c r="P347" i="2" s="1"/>
  <c r="Q347" i="2" s="1"/>
  <c r="M348" i="2"/>
  <c r="N348" i="2"/>
  <c r="P348" i="2" s="1"/>
  <c r="Q348" i="2" s="1"/>
  <c r="M349" i="2"/>
  <c r="N349" i="2" s="1"/>
  <c r="P349" i="2" s="1"/>
  <c r="Q349" i="2" s="1"/>
  <c r="M350" i="2"/>
  <c r="N350" i="2"/>
  <c r="P350" i="2" s="1"/>
  <c r="Q350" i="2" s="1"/>
  <c r="M351" i="2"/>
  <c r="N351" i="2"/>
  <c r="P351" i="2" s="1"/>
  <c r="Q351" i="2" s="1"/>
  <c r="M352" i="2"/>
  <c r="N352" i="2"/>
  <c r="P352" i="2" s="1"/>
  <c r="Q352" i="2" s="1"/>
  <c r="M353" i="2"/>
  <c r="N353" i="2" s="1"/>
  <c r="P353" i="2" s="1"/>
  <c r="Q353" i="2" s="1"/>
  <c r="M354" i="2"/>
  <c r="N354" i="2"/>
  <c r="P354" i="2" s="1"/>
  <c r="Q354" i="2" s="1"/>
  <c r="M355" i="2"/>
  <c r="N355" i="2" s="1"/>
  <c r="P355" i="2" s="1"/>
  <c r="Q355" i="2" s="1"/>
  <c r="M356" i="2"/>
  <c r="N356" i="2"/>
  <c r="P356" i="2" s="1"/>
  <c r="Q356" i="2" s="1"/>
  <c r="M357" i="2"/>
  <c r="N357" i="2" s="1"/>
  <c r="P357" i="2" s="1"/>
  <c r="Q357" i="2" s="1"/>
  <c r="M358" i="2"/>
  <c r="N358" i="2" s="1"/>
  <c r="P358" i="2" s="1"/>
  <c r="Q358" i="2" s="1"/>
  <c r="M359" i="2"/>
  <c r="N359" i="2" s="1"/>
  <c r="P359" i="2" s="1"/>
  <c r="Q359" i="2" s="1"/>
  <c r="M360" i="2"/>
  <c r="N360" i="2" s="1"/>
  <c r="P360" i="2" s="1"/>
  <c r="Q360" i="2" s="1"/>
  <c r="M361" i="2"/>
  <c r="N361" i="2"/>
  <c r="P361" i="2" s="1"/>
  <c r="Q361" i="2" s="1"/>
  <c r="M362" i="2"/>
  <c r="N362" i="2"/>
  <c r="P362" i="2" s="1"/>
  <c r="Q362" i="2" s="1"/>
  <c r="M363" i="2"/>
  <c r="N363" i="2"/>
  <c r="P363" i="2" s="1"/>
  <c r="Q363" i="2" s="1"/>
  <c r="M364" i="2"/>
  <c r="N364" i="2"/>
  <c r="P364" i="2" s="1"/>
  <c r="Q364" i="2" s="1"/>
  <c r="M365" i="2"/>
  <c r="N365" i="2" s="1"/>
  <c r="P365" i="2" s="1"/>
  <c r="Q365" i="2" s="1"/>
  <c r="M366" i="2"/>
  <c r="N366" i="2"/>
  <c r="P366" i="2" s="1"/>
  <c r="Q366" i="2" s="1"/>
  <c r="M367" i="2"/>
  <c r="N367" i="2" s="1"/>
  <c r="P367" i="2" s="1"/>
  <c r="Q367" i="2" s="1"/>
  <c r="M368" i="2"/>
  <c r="N368" i="2" s="1"/>
  <c r="P368" i="2" s="1"/>
  <c r="Q368" i="2" s="1"/>
  <c r="M369" i="2"/>
  <c r="N369" i="2"/>
  <c r="P369" i="2" s="1"/>
  <c r="Q369" i="2" s="1"/>
  <c r="M370" i="2"/>
  <c r="N370" i="2"/>
  <c r="P370" i="2" s="1"/>
  <c r="Q370" i="2" s="1"/>
  <c r="M371" i="2"/>
  <c r="N371" i="2" s="1"/>
  <c r="P371" i="2" s="1"/>
  <c r="Q371" i="2" s="1"/>
  <c r="M372" i="2"/>
  <c r="N372" i="2"/>
  <c r="P372" i="2" s="1"/>
  <c r="Q372" i="2" s="1"/>
  <c r="M373" i="2"/>
  <c r="N373" i="2" s="1"/>
  <c r="P373" i="2" s="1"/>
  <c r="Q373" i="2" s="1"/>
  <c r="M374" i="2"/>
  <c r="N374" i="2"/>
  <c r="P374" i="2" s="1"/>
  <c r="Q374" i="2" s="1"/>
  <c r="M375" i="2"/>
  <c r="N375" i="2"/>
  <c r="P375" i="2" s="1"/>
  <c r="Q375" i="2" s="1"/>
  <c r="M376" i="2"/>
  <c r="N376" i="2" s="1"/>
  <c r="P376" i="2" s="1"/>
  <c r="Q376" i="2" s="1"/>
  <c r="M377" i="2"/>
  <c r="N377" i="2" s="1"/>
  <c r="P377" i="2" s="1"/>
  <c r="Q377" i="2" s="1"/>
  <c r="M378" i="2"/>
  <c r="N378" i="2"/>
  <c r="P378" i="2" s="1"/>
  <c r="Q378" i="2" s="1"/>
  <c r="M379" i="2"/>
  <c r="N379" i="2" s="1"/>
  <c r="P379" i="2" s="1"/>
  <c r="Q379" i="2" s="1"/>
  <c r="M380" i="2"/>
  <c r="N380" i="2" s="1"/>
  <c r="P380" i="2" s="1"/>
  <c r="Q380" i="2" s="1"/>
  <c r="M381" i="2"/>
  <c r="N381" i="2" s="1"/>
  <c r="P381" i="2" s="1"/>
  <c r="Q381" i="2" s="1"/>
  <c r="M382" i="2"/>
  <c r="N382" i="2" s="1"/>
  <c r="P382" i="2" s="1"/>
  <c r="Q382" i="2" s="1"/>
  <c r="M383" i="2"/>
  <c r="N383" i="2" s="1"/>
  <c r="P383" i="2" s="1"/>
  <c r="Q383" i="2" s="1"/>
  <c r="M384" i="2"/>
  <c r="N384" i="2" s="1"/>
  <c r="P384" i="2" s="1"/>
  <c r="Q384" i="2" s="1"/>
  <c r="M385" i="2"/>
  <c r="N385" i="2"/>
  <c r="P385" i="2" s="1"/>
  <c r="Q385" i="2" s="1"/>
  <c r="M386" i="2"/>
  <c r="N386" i="2" s="1"/>
  <c r="P386" i="2" s="1"/>
  <c r="Q386" i="2" s="1"/>
  <c r="M387" i="2"/>
  <c r="N387" i="2" s="1"/>
  <c r="P387" i="2" s="1"/>
  <c r="Q387" i="2" s="1"/>
  <c r="M388" i="2"/>
  <c r="N388" i="2" s="1"/>
  <c r="P388" i="2" s="1"/>
  <c r="Q388" i="2" s="1"/>
  <c r="M389" i="2"/>
  <c r="N389" i="2"/>
  <c r="P389" i="2" s="1"/>
  <c r="Q389" i="2" s="1"/>
  <c r="M390" i="2"/>
  <c r="N390" i="2"/>
  <c r="P390" i="2" s="1"/>
  <c r="Q390" i="2" s="1"/>
  <c r="M391" i="2"/>
  <c r="N391" i="2" s="1"/>
  <c r="P391" i="2" s="1"/>
  <c r="Q391" i="2" s="1"/>
  <c r="M392" i="2"/>
  <c r="N392" i="2" s="1"/>
  <c r="P392" i="2" s="1"/>
  <c r="Q392" i="2" s="1"/>
  <c r="M393" i="2"/>
  <c r="N393" i="2" s="1"/>
  <c r="P393" i="2" s="1"/>
  <c r="Q393" i="2" s="1"/>
  <c r="M394" i="2"/>
  <c r="N394" i="2" s="1"/>
  <c r="P394" i="2" s="1"/>
  <c r="Q394" i="2" s="1"/>
  <c r="M395" i="2"/>
  <c r="N395" i="2" s="1"/>
  <c r="P395" i="2" s="1"/>
  <c r="Q395" i="2" s="1"/>
  <c r="M396" i="2"/>
  <c r="N396" i="2"/>
  <c r="P396" i="2" s="1"/>
  <c r="Q396" i="2" s="1"/>
  <c r="M397" i="2"/>
  <c r="N397" i="2"/>
  <c r="P397" i="2" s="1"/>
  <c r="Q397" i="2" s="1"/>
  <c r="M398" i="2"/>
  <c r="N398" i="2"/>
  <c r="P398" i="2" s="1"/>
  <c r="Q398" i="2" s="1"/>
  <c r="M399" i="2"/>
  <c r="N399" i="2" s="1"/>
  <c r="P399" i="2" s="1"/>
  <c r="Q399" i="2" s="1"/>
  <c r="M400" i="2"/>
  <c r="N400" i="2" s="1"/>
  <c r="P400" i="2" s="1"/>
  <c r="Q400" i="2" s="1"/>
  <c r="M401" i="2"/>
  <c r="N401" i="2" s="1"/>
  <c r="P401" i="2" s="1"/>
  <c r="Q401" i="2" s="1"/>
  <c r="M402" i="2"/>
  <c r="N402" i="2" s="1"/>
  <c r="P402" i="2" s="1"/>
  <c r="Q402" i="2" s="1"/>
  <c r="M403" i="2"/>
  <c r="N403" i="2"/>
  <c r="P403" i="2" s="1"/>
  <c r="Q403" i="2" s="1"/>
  <c r="M404" i="2"/>
  <c r="N404" i="2" s="1"/>
  <c r="P404" i="2" s="1"/>
  <c r="Q404" i="2" s="1"/>
  <c r="M405" i="2"/>
  <c r="N405" i="2"/>
  <c r="P405" i="2" s="1"/>
  <c r="Q405" i="2" s="1"/>
  <c r="M406" i="2"/>
  <c r="N406" i="2" s="1"/>
  <c r="P406" i="2" s="1"/>
  <c r="Q406" i="2" s="1"/>
  <c r="M407" i="2"/>
  <c r="N407" i="2" s="1"/>
  <c r="P407" i="2" s="1"/>
  <c r="Q407" i="2" s="1"/>
  <c r="M408" i="2"/>
  <c r="N408" i="2" s="1"/>
  <c r="P408" i="2" s="1"/>
  <c r="Q408" i="2" s="1"/>
  <c r="M409" i="2"/>
  <c r="N409" i="2"/>
  <c r="P409" i="2" s="1"/>
  <c r="Q409" i="2" s="1"/>
  <c r="M410" i="2"/>
  <c r="N410" i="2"/>
  <c r="P410" i="2" s="1"/>
  <c r="Q410" i="2" s="1"/>
  <c r="M411" i="2"/>
  <c r="N411" i="2"/>
  <c r="P411" i="2" s="1"/>
  <c r="Q411" i="2" s="1"/>
  <c r="M412" i="2"/>
  <c r="N412" i="2" s="1"/>
  <c r="P412" i="2" s="1"/>
  <c r="Q412" i="2" s="1"/>
  <c r="M413" i="2"/>
  <c r="N413" i="2" s="1"/>
  <c r="P413" i="2" s="1"/>
  <c r="Q413" i="2" s="1"/>
  <c r="M414" i="2"/>
  <c r="N414" i="2"/>
  <c r="P414" i="2" s="1"/>
  <c r="Q414" i="2" s="1"/>
  <c r="M415" i="2"/>
  <c r="N415" i="2"/>
  <c r="P415" i="2" s="1"/>
  <c r="Q415" i="2" s="1"/>
  <c r="M416" i="2"/>
  <c r="N416" i="2" s="1"/>
  <c r="P416" i="2" s="1"/>
  <c r="Q416" i="2" s="1"/>
  <c r="M417" i="2"/>
  <c r="N417" i="2"/>
  <c r="P417" i="2" s="1"/>
  <c r="Q417" i="2" s="1"/>
  <c r="M418" i="2"/>
  <c r="N418" i="2" s="1"/>
  <c r="P418" i="2" s="1"/>
  <c r="Q418" i="2" s="1"/>
  <c r="M419" i="2"/>
  <c r="N419" i="2" s="1"/>
  <c r="P419" i="2" s="1"/>
  <c r="Q419" i="2" s="1"/>
  <c r="M420" i="2"/>
  <c r="N420" i="2" s="1"/>
  <c r="P420" i="2" s="1"/>
  <c r="Q420" i="2" s="1"/>
  <c r="M421" i="2"/>
  <c r="N421" i="2" s="1"/>
  <c r="P421" i="2" s="1"/>
  <c r="Q421" i="2" s="1"/>
  <c r="M422" i="2"/>
  <c r="N422" i="2"/>
  <c r="P422" i="2" s="1"/>
  <c r="Q422" i="2" s="1"/>
  <c r="M423" i="2"/>
  <c r="N423" i="2"/>
  <c r="P423" i="2" s="1"/>
  <c r="Q423" i="2" s="1"/>
  <c r="M424" i="2"/>
  <c r="N424" i="2" s="1"/>
  <c r="P424" i="2" s="1"/>
  <c r="Q424" i="2" s="1"/>
  <c r="M425" i="2"/>
  <c r="N425" i="2"/>
  <c r="P425" i="2" s="1"/>
  <c r="Q425" i="2" s="1"/>
  <c r="M426" i="2"/>
  <c r="N426" i="2" s="1"/>
  <c r="P426" i="2" s="1"/>
  <c r="Q426" i="2" s="1"/>
  <c r="M427" i="2"/>
  <c r="N427" i="2"/>
  <c r="P427" i="2" s="1"/>
  <c r="Q427" i="2" s="1"/>
  <c r="M428" i="2"/>
  <c r="N428" i="2"/>
  <c r="P428" i="2" s="1"/>
  <c r="Q428" i="2" s="1"/>
  <c r="M429" i="2"/>
  <c r="N429" i="2" s="1"/>
  <c r="P429" i="2" s="1"/>
  <c r="Q429" i="2" s="1"/>
  <c r="M430" i="2"/>
  <c r="N430" i="2" s="1"/>
  <c r="P430" i="2" s="1"/>
  <c r="Q430" i="2" s="1"/>
  <c r="M431" i="2"/>
  <c r="N431" i="2" s="1"/>
  <c r="P431" i="2" s="1"/>
  <c r="Q431" i="2" s="1"/>
  <c r="M432" i="2"/>
  <c r="N432" i="2"/>
  <c r="P432" i="2" s="1"/>
  <c r="Q432" i="2" s="1"/>
  <c r="M433" i="2"/>
  <c r="N433" i="2" s="1"/>
  <c r="P433" i="2" s="1"/>
  <c r="Q433" i="2" s="1"/>
  <c r="M434" i="2"/>
  <c r="N434" i="2" s="1"/>
  <c r="P434" i="2" s="1"/>
  <c r="Q434" i="2" s="1"/>
  <c r="M435" i="2"/>
  <c r="N435" i="2" s="1"/>
  <c r="P435" i="2" s="1"/>
  <c r="Q435" i="2" s="1"/>
  <c r="M436" i="2"/>
  <c r="N436" i="2" s="1"/>
  <c r="P436" i="2" s="1"/>
  <c r="Q436" i="2" s="1"/>
  <c r="M437" i="2"/>
  <c r="N437" i="2" s="1"/>
  <c r="P437" i="2" s="1"/>
  <c r="Q437" i="2" s="1"/>
  <c r="M438" i="2"/>
  <c r="N438" i="2" s="1"/>
  <c r="P438" i="2" s="1"/>
  <c r="Q438" i="2" s="1"/>
  <c r="M439" i="2"/>
  <c r="N439" i="2" s="1"/>
  <c r="P439" i="2" s="1"/>
  <c r="Q439" i="2" s="1"/>
  <c r="M440" i="2"/>
  <c r="N440" i="2" s="1"/>
  <c r="P440" i="2" s="1"/>
  <c r="Q440" i="2" s="1"/>
  <c r="M441" i="2"/>
  <c r="N441" i="2" s="1"/>
  <c r="P441" i="2" s="1"/>
  <c r="Q441" i="2" s="1"/>
  <c r="M442" i="2"/>
  <c r="N442" i="2" s="1"/>
  <c r="P442" i="2" s="1"/>
  <c r="Q442" i="2" s="1"/>
  <c r="M443" i="2"/>
  <c r="N443" i="2" s="1"/>
  <c r="P443" i="2" s="1"/>
  <c r="Q443" i="2" s="1"/>
  <c r="M444" i="2"/>
  <c r="N444" i="2" s="1"/>
  <c r="P444" i="2" s="1"/>
  <c r="Q444" i="2" s="1"/>
  <c r="M445" i="2"/>
  <c r="N445" i="2" s="1"/>
  <c r="P445" i="2" s="1"/>
  <c r="Q445" i="2" s="1"/>
  <c r="M446" i="2"/>
  <c r="N446" i="2" s="1"/>
  <c r="P446" i="2" s="1"/>
  <c r="Q446" i="2" s="1"/>
  <c r="M447" i="2"/>
  <c r="N447" i="2" s="1"/>
  <c r="P447" i="2" s="1"/>
  <c r="Q447" i="2" s="1"/>
  <c r="M448" i="2"/>
  <c r="N448" i="2" s="1"/>
  <c r="P448" i="2" s="1"/>
  <c r="Q448" i="2" s="1"/>
  <c r="M449" i="2"/>
  <c r="N449" i="2" s="1"/>
  <c r="P449" i="2" s="1"/>
  <c r="Q449" i="2" s="1"/>
  <c r="M450" i="2"/>
  <c r="N450" i="2" s="1"/>
  <c r="P450" i="2" s="1"/>
  <c r="Q450" i="2" s="1"/>
  <c r="M451" i="2"/>
  <c r="N451" i="2" s="1"/>
  <c r="P451" i="2" s="1"/>
  <c r="Q451" i="2" s="1"/>
  <c r="M452" i="2"/>
  <c r="N452" i="2" s="1"/>
  <c r="P452" i="2" s="1"/>
  <c r="Q452" i="2" s="1"/>
  <c r="M453" i="2"/>
  <c r="N453" i="2" s="1"/>
  <c r="P453" i="2" s="1"/>
  <c r="Q453" i="2" s="1"/>
  <c r="M454" i="2"/>
  <c r="N454" i="2" s="1"/>
  <c r="P454" i="2" s="1"/>
  <c r="Q454" i="2" s="1"/>
  <c r="M455" i="2"/>
  <c r="N455" i="2"/>
  <c r="P455" i="2" s="1"/>
  <c r="Q455" i="2" s="1"/>
  <c r="M456" i="2"/>
  <c r="N456" i="2" s="1"/>
  <c r="P456" i="2" s="1"/>
  <c r="Q456" i="2" s="1"/>
  <c r="M457" i="2"/>
  <c r="N457" i="2"/>
  <c r="P457" i="2" s="1"/>
  <c r="Q457" i="2" s="1"/>
  <c r="M458" i="2"/>
  <c r="N458" i="2" s="1"/>
  <c r="P458" i="2" s="1"/>
  <c r="Q458" i="2" s="1"/>
  <c r="M459" i="2"/>
  <c r="N459" i="2" s="1"/>
  <c r="P459" i="2" s="1"/>
  <c r="Q459" i="2" s="1"/>
  <c r="M460" i="2"/>
  <c r="N460" i="2"/>
  <c r="P460" i="2" s="1"/>
  <c r="Q460" i="2" s="1"/>
  <c r="M461" i="2"/>
  <c r="N461" i="2" s="1"/>
  <c r="P461" i="2" s="1"/>
  <c r="Q461" i="2" s="1"/>
  <c r="M462" i="2"/>
  <c r="N462" i="2" s="1"/>
  <c r="P462" i="2" s="1"/>
  <c r="Q462" i="2" s="1"/>
  <c r="M463" i="2"/>
  <c r="N463" i="2" s="1"/>
  <c r="P463" i="2" s="1"/>
  <c r="Q463" i="2" s="1"/>
  <c r="M464" i="2"/>
  <c r="N464" i="2" s="1"/>
  <c r="P464" i="2" s="1"/>
  <c r="Q464" i="2" s="1"/>
  <c r="M465" i="2"/>
  <c r="N465" i="2" s="1"/>
  <c r="P465" i="2" s="1"/>
  <c r="Q465" i="2" s="1"/>
  <c r="M466" i="2"/>
  <c r="N466" i="2"/>
  <c r="P466" i="2" s="1"/>
  <c r="Q466" i="2" s="1"/>
  <c r="M467" i="2"/>
  <c r="N467" i="2" s="1"/>
  <c r="P467" i="2" s="1"/>
  <c r="Q467" i="2" s="1"/>
  <c r="M468" i="2"/>
  <c r="N468" i="2" s="1"/>
  <c r="P468" i="2" s="1"/>
  <c r="Q468" i="2" s="1"/>
  <c r="M469" i="2"/>
  <c r="N469" i="2" s="1"/>
  <c r="P469" i="2" s="1"/>
  <c r="Q469" i="2" s="1"/>
  <c r="M470" i="2"/>
  <c r="N470" i="2" s="1"/>
  <c r="P470" i="2" s="1"/>
  <c r="Q470" i="2" s="1"/>
  <c r="M471" i="2"/>
  <c r="N471" i="2" s="1"/>
  <c r="P471" i="2" s="1"/>
  <c r="Q471" i="2" s="1"/>
  <c r="M472" i="2"/>
  <c r="N472" i="2" s="1"/>
  <c r="P472" i="2" s="1"/>
  <c r="Q472" i="2" s="1"/>
  <c r="M473" i="2"/>
  <c r="N473" i="2" s="1"/>
  <c r="P473" i="2" s="1"/>
  <c r="Q473" i="2" s="1"/>
  <c r="M474" i="2"/>
  <c r="N474" i="2" s="1"/>
  <c r="P474" i="2" s="1"/>
  <c r="Q474" i="2" s="1"/>
  <c r="M475" i="2"/>
  <c r="N475" i="2" s="1"/>
  <c r="P475" i="2" s="1"/>
  <c r="Q475" i="2" s="1"/>
  <c r="M476" i="2"/>
  <c r="N476" i="2" s="1"/>
  <c r="P476" i="2" s="1"/>
  <c r="Q476" i="2" s="1"/>
  <c r="M477" i="2"/>
  <c r="N477" i="2" s="1"/>
  <c r="P477" i="2" s="1"/>
  <c r="Q477" i="2" s="1"/>
  <c r="M478" i="2"/>
  <c r="N478" i="2" s="1"/>
  <c r="P478" i="2" s="1"/>
  <c r="Q478" i="2" s="1"/>
  <c r="M479" i="2"/>
  <c r="N479" i="2" s="1"/>
  <c r="P479" i="2" s="1"/>
  <c r="Q479" i="2" s="1"/>
  <c r="M480" i="2"/>
  <c r="N480" i="2" s="1"/>
  <c r="P480" i="2" s="1"/>
  <c r="Q480" i="2" s="1"/>
  <c r="M481" i="2"/>
  <c r="N481" i="2" s="1"/>
  <c r="P481" i="2" s="1"/>
  <c r="Q481" i="2" s="1"/>
  <c r="M482" i="2"/>
  <c r="N482" i="2"/>
  <c r="P482" i="2" s="1"/>
  <c r="Q482" i="2" s="1"/>
  <c r="M483" i="2"/>
  <c r="N483" i="2" s="1"/>
  <c r="P483" i="2" s="1"/>
  <c r="Q483" i="2" s="1"/>
  <c r="M484" i="2"/>
  <c r="N484" i="2" s="1"/>
  <c r="P484" i="2" s="1"/>
  <c r="Q484" i="2" s="1"/>
  <c r="M485" i="2"/>
  <c r="N485" i="2" s="1"/>
  <c r="P485" i="2" s="1"/>
  <c r="Q485" i="2" s="1"/>
  <c r="M486" i="2"/>
  <c r="N486" i="2" s="1"/>
  <c r="P486" i="2" s="1"/>
  <c r="Q486" i="2" s="1"/>
  <c r="M487" i="2"/>
  <c r="N487" i="2" s="1"/>
  <c r="P487" i="2" s="1"/>
  <c r="Q487" i="2" s="1"/>
  <c r="M488" i="2"/>
  <c r="N488" i="2" s="1"/>
  <c r="P488" i="2" s="1"/>
  <c r="Q488" i="2" s="1"/>
  <c r="M489" i="2"/>
  <c r="N489" i="2" s="1"/>
  <c r="P489" i="2" s="1"/>
  <c r="Q489" i="2" s="1"/>
  <c r="M490" i="2"/>
  <c r="N490" i="2" s="1"/>
  <c r="P490" i="2" s="1"/>
  <c r="Q490" i="2" s="1"/>
  <c r="M491" i="2"/>
  <c r="N491" i="2" s="1"/>
  <c r="P491" i="2" s="1"/>
  <c r="Q491" i="2" s="1"/>
  <c r="M492" i="2"/>
  <c r="N492" i="2" s="1"/>
  <c r="P492" i="2" s="1"/>
  <c r="Q492" i="2" s="1"/>
  <c r="M493" i="2"/>
  <c r="N493" i="2" s="1"/>
  <c r="P493" i="2" s="1"/>
  <c r="Q493" i="2" s="1"/>
  <c r="M494" i="2"/>
  <c r="N494" i="2" s="1"/>
  <c r="P494" i="2" s="1"/>
  <c r="Q494" i="2" s="1"/>
  <c r="M495" i="2"/>
  <c r="N495" i="2"/>
  <c r="P495" i="2" s="1"/>
  <c r="Q495" i="2" s="1"/>
  <c r="M496" i="2"/>
  <c r="N496" i="2" s="1"/>
  <c r="P496" i="2" s="1"/>
  <c r="Q496" i="2" s="1"/>
  <c r="M497" i="2"/>
  <c r="N497" i="2" s="1"/>
  <c r="P497" i="2" s="1"/>
  <c r="Q497" i="2" s="1"/>
  <c r="M498" i="2"/>
  <c r="N498" i="2" s="1"/>
  <c r="P498" i="2" s="1"/>
  <c r="Q498" i="2" s="1"/>
  <c r="M499" i="2"/>
  <c r="N499" i="2" s="1"/>
  <c r="P499" i="2" s="1"/>
  <c r="Q499" i="2" s="1"/>
  <c r="M500" i="2"/>
  <c r="N500" i="2" s="1"/>
  <c r="P500" i="2" s="1"/>
  <c r="Q500" i="2" s="1"/>
  <c r="M501" i="2"/>
  <c r="N501" i="2"/>
  <c r="P501" i="2" s="1"/>
  <c r="Q501" i="2"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7825E9C-7CA0-4C6B-B873-FE1B30DDD8E0}" keepAlive="1" name="Query - customers" description="Connection to the 'customers' query in the workbook." type="5" refreshedVersion="0" background="1">
    <dbPr connection="Provider=Microsoft.Mashup.OleDb.1;Data Source=$Workbook$;Location=customers;Extended Properties=&quot;&quot;" command="SELECT * FROM [customers]"/>
  </connection>
  <connection id="2" xr16:uid="{18C382E1-0F1F-4082-8734-77D8E5B1BAA8}" keepAlive="1" name="Query - sales" description="Connection to the 'sales' query in the workbook." type="5" refreshedVersion="8" background="1" saveData="1">
    <dbPr connection="Provider=Microsoft.Mashup.OleDb.1;Data Source=$Workbook$;Location=sales;Extended Properties=&quot;&quot;" command="SELECT * FROM [sales]"/>
  </connection>
</connections>
</file>

<file path=xl/sharedStrings.xml><?xml version="1.0" encoding="utf-8"?>
<sst xmlns="http://schemas.openxmlformats.org/spreadsheetml/2006/main" count="3075" uniqueCount="1178">
  <si>
    <t>OrderID</t>
  </si>
  <si>
    <t>LineID</t>
  </si>
  <si>
    <t>Date</t>
  </si>
  <si>
    <t>ProductID</t>
  </si>
  <si>
    <t>StoreID</t>
  </si>
  <si>
    <t>CustomerID</t>
  </si>
  <si>
    <t>SalesChannel</t>
  </si>
  <si>
    <t>Quantity</t>
  </si>
  <si>
    <t>UnitPrice</t>
  </si>
  <si>
    <t>DiscountRate</t>
  </si>
  <si>
    <t>UnitCostAtSale</t>
  </si>
  <si>
    <t>ORD00001</t>
  </si>
  <si>
    <t>L00001</t>
  </si>
  <si>
    <t>P012</t>
  </si>
  <si>
    <t>S01</t>
  </si>
  <si>
    <t>C0077</t>
  </si>
  <si>
    <t>Online</t>
  </si>
  <si>
    <t>ORD00002</t>
  </si>
  <si>
    <t>L00002</t>
  </si>
  <si>
    <t>P016</t>
  </si>
  <si>
    <t>S03</t>
  </si>
  <si>
    <t>C0031</t>
  </si>
  <si>
    <t>In-Store</t>
  </si>
  <si>
    <t>ORD00003</t>
  </si>
  <si>
    <t>L00003</t>
  </si>
  <si>
    <t>P008</t>
  </si>
  <si>
    <t>C0098</t>
  </si>
  <si>
    <t>ORD00004</t>
  </si>
  <si>
    <t>L00004</t>
  </si>
  <si>
    <t>P005</t>
  </si>
  <si>
    <t>C0068</t>
  </si>
  <si>
    <t>ORD00005</t>
  </si>
  <si>
    <t>L00005</t>
  </si>
  <si>
    <t>P007</t>
  </si>
  <si>
    <t>C0057</t>
  </si>
  <si>
    <t>ORD00006</t>
  </si>
  <si>
    <t>L00006</t>
  </si>
  <si>
    <t>P004</t>
  </si>
  <si>
    <t>C0003</t>
  </si>
  <si>
    <t>ORD00007</t>
  </si>
  <si>
    <t>L00007</t>
  </si>
  <si>
    <t>P019</t>
  </si>
  <si>
    <t>C0030</t>
  </si>
  <si>
    <t>ORD00008</t>
  </si>
  <si>
    <t>L00008</t>
  </si>
  <si>
    <t>P029</t>
  </si>
  <si>
    <t>S05</t>
  </si>
  <si>
    <t>ORD00009</t>
  </si>
  <si>
    <t>L00009</t>
  </si>
  <si>
    <t>P022</t>
  </si>
  <si>
    <t>S02</t>
  </si>
  <si>
    <t>C0093</t>
  </si>
  <si>
    <t>ORD00010</t>
  </si>
  <si>
    <t>L00010</t>
  </si>
  <si>
    <t>C0013</t>
  </si>
  <si>
    <t>ORD00011</t>
  </si>
  <si>
    <t>L00011</t>
  </si>
  <si>
    <t>C0087</t>
  </si>
  <si>
    <t>ORD00012</t>
  </si>
  <si>
    <t>L00012</t>
  </si>
  <si>
    <t>P002</t>
  </si>
  <si>
    <t>C0025</t>
  </si>
  <si>
    <t>ORD00013</t>
  </si>
  <si>
    <t>L00013</t>
  </si>
  <si>
    <t>P018</t>
  </si>
  <si>
    <t>C0036</t>
  </si>
  <si>
    <t>ORD00014</t>
  </si>
  <si>
    <t>L00014</t>
  </si>
  <si>
    <t>C0007</t>
  </si>
  <si>
    <t>ORD00015</t>
  </si>
  <si>
    <t>L00015</t>
  </si>
  <si>
    <t>P003</t>
  </si>
  <si>
    <t>S04</t>
  </si>
  <si>
    <t>C0062</t>
  </si>
  <si>
    <t>ORD00016</t>
  </si>
  <si>
    <t>L00016</t>
  </si>
  <si>
    <t>P028</t>
  </si>
  <si>
    <t>C0001</t>
  </si>
  <si>
    <t>ORD00017</t>
  </si>
  <si>
    <t>L00017</t>
  </si>
  <si>
    <t>P009</t>
  </si>
  <si>
    <t>C0085</t>
  </si>
  <si>
    <t>ORD00018</t>
  </si>
  <si>
    <t>L00018</t>
  </si>
  <si>
    <t>C0075</t>
  </si>
  <si>
    <t>ORD00019</t>
  </si>
  <si>
    <t>L00019</t>
  </si>
  <si>
    <t>P024</t>
  </si>
  <si>
    <t>ORD00020</t>
  </si>
  <si>
    <t>L00020</t>
  </si>
  <si>
    <t>ORD00021</t>
  </si>
  <si>
    <t>L00021</t>
  </si>
  <si>
    <t>C0032</t>
  </si>
  <si>
    <t>ORD00022</t>
  </si>
  <si>
    <t>L00022</t>
  </si>
  <si>
    <t>P020</t>
  </si>
  <si>
    <t>C0067</t>
  </si>
  <si>
    <t>ORD00023</t>
  </si>
  <si>
    <t>L00023</t>
  </si>
  <si>
    <t>P030</t>
  </si>
  <si>
    <t>C0034</t>
  </si>
  <si>
    <t>ORD00024</t>
  </si>
  <si>
    <t>L00024</t>
  </si>
  <si>
    <t>C0002</t>
  </si>
  <si>
    <t>ORD00025</t>
  </si>
  <si>
    <t>L00025</t>
  </si>
  <si>
    <t>C0065</t>
  </si>
  <si>
    <t>ORD00026</t>
  </si>
  <si>
    <t>L00026</t>
  </si>
  <si>
    <t>C0037</t>
  </si>
  <si>
    <t>ORD00027</t>
  </si>
  <si>
    <t>L00027</t>
  </si>
  <si>
    <t>P015</t>
  </si>
  <si>
    <t>C0086</t>
  </si>
  <si>
    <t>ORD00028</t>
  </si>
  <si>
    <t>L00028</t>
  </si>
  <si>
    <t>C0014</t>
  </si>
  <si>
    <t>ORD00029</t>
  </si>
  <si>
    <t>L00029</t>
  </si>
  <si>
    <t>C0027</t>
  </si>
  <si>
    <t>ORD00030</t>
  </si>
  <si>
    <t>L00030</t>
  </si>
  <si>
    <t>P017</t>
  </si>
  <si>
    <t>C0082</t>
  </si>
  <si>
    <t>ORD00031</t>
  </si>
  <si>
    <t>L00031</t>
  </si>
  <si>
    <t>P027</t>
  </si>
  <si>
    <t>C0099</t>
  </si>
  <si>
    <t>ORD00032</t>
  </si>
  <si>
    <t>L00032</t>
  </si>
  <si>
    <t>P021</t>
  </si>
  <si>
    <t>C0091</t>
  </si>
  <si>
    <t>ORD00033</t>
  </si>
  <si>
    <t>L00033</t>
  </si>
  <si>
    <t>C0070</t>
  </si>
  <si>
    <t>ORD00034</t>
  </si>
  <si>
    <t>L00034</t>
  </si>
  <si>
    <t>C0056</t>
  </si>
  <si>
    <t>ORD00035</t>
  </si>
  <si>
    <t>L00035</t>
  </si>
  <si>
    <t>ORD00036</t>
  </si>
  <si>
    <t>L00036</t>
  </si>
  <si>
    <t>C0080</t>
  </si>
  <si>
    <t>ORD00037</t>
  </si>
  <si>
    <t>L00037</t>
  </si>
  <si>
    <t>C0004</t>
  </si>
  <si>
    <t>ORD00038</t>
  </si>
  <si>
    <t>L00038</t>
  </si>
  <si>
    <t>C0021</t>
  </si>
  <si>
    <t>ORD00039</t>
  </si>
  <si>
    <t>L00039</t>
  </si>
  <si>
    <t>P013</t>
  </si>
  <si>
    <t>C0059</t>
  </si>
  <si>
    <t>ORD00040</t>
  </si>
  <si>
    <t>L00040</t>
  </si>
  <si>
    <t>P010</t>
  </si>
  <si>
    <t>C0052</t>
  </si>
  <si>
    <t>ORD00041</t>
  </si>
  <si>
    <t>L00041</t>
  </si>
  <si>
    <t>ORD00042</t>
  </si>
  <si>
    <t>L00042</t>
  </si>
  <si>
    <t>P001</t>
  </si>
  <si>
    <t>ORD00043</t>
  </si>
  <si>
    <t>L00043</t>
  </si>
  <si>
    <t>C0078</t>
  </si>
  <si>
    <t>ORD00044</t>
  </si>
  <si>
    <t>L00044</t>
  </si>
  <si>
    <t>ORD00045</t>
  </si>
  <si>
    <t>L00045</t>
  </si>
  <si>
    <t>C0041</t>
  </si>
  <si>
    <t>ORD00046</t>
  </si>
  <si>
    <t>L00046</t>
  </si>
  <si>
    <t>C0042</t>
  </si>
  <si>
    <t>ORD00047</t>
  </si>
  <si>
    <t>L00047</t>
  </si>
  <si>
    <t>P023</t>
  </si>
  <si>
    <t>C0054</t>
  </si>
  <si>
    <t>ORD00048</t>
  </si>
  <si>
    <t>L00048</t>
  </si>
  <si>
    <t>ORD00049</t>
  </si>
  <si>
    <t>L00049</t>
  </si>
  <si>
    <t>ORD00050</t>
  </si>
  <si>
    <t>L00050</t>
  </si>
  <si>
    <t>C0061</t>
  </si>
  <si>
    <t>ORD00051</t>
  </si>
  <si>
    <t>L00051</t>
  </si>
  <si>
    <t>C0043</t>
  </si>
  <si>
    <t>ORD00052</t>
  </si>
  <si>
    <t>L00052</t>
  </si>
  <si>
    <t>C0019</t>
  </si>
  <si>
    <t>ORD00053</t>
  </si>
  <si>
    <t>L00053</t>
  </si>
  <si>
    <t>ORD00054</t>
  </si>
  <si>
    <t>L00054</t>
  </si>
  <si>
    <t>ORD00055</t>
  </si>
  <si>
    <t>L00055</t>
  </si>
  <si>
    <t>C0023</t>
  </si>
  <si>
    <t>ORD00056</t>
  </si>
  <si>
    <t>L00056</t>
  </si>
  <si>
    <t>C0060</t>
  </si>
  <si>
    <t>ORD00057</t>
  </si>
  <si>
    <t>L00057</t>
  </si>
  <si>
    <t>P025</t>
  </si>
  <si>
    <t>C0071</t>
  </si>
  <si>
    <t>ORD00058</t>
  </si>
  <si>
    <t>L00058</t>
  </si>
  <si>
    <t>C0097</t>
  </si>
  <si>
    <t>ORD00059</t>
  </si>
  <si>
    <t>L00059</t>
  </si>
  <si>
    <t>ORD00060</t>
  </si>
  <si>
    <t>L00060</t>
  </si>
  <si>
    <t>ORD00061</t>
  </si>
  <si>
    <t>L00061</t>
  </si>
  <si>
    <t>ORD00062</t>
  </si>
  <si>
    <t>L00062</t>
  </si>
  <si>
    <t>ORD00063</t>
  </si>
  <si>
    <t>L00063</t>
  </si>
  <si>
    <t>C0090</t>
  </si>
  <si>
    <t>ORD00064</t>
  </si>
  <si>
    <t>L00064</t>
  </si>
  <si>
    <t>C0039</t>
  </si>
  <si>
    <t>ORD00065</t>
  </si>
  <si>
    <t>L00065</t>
  </si>
  <si>
    <t>C0029</t>
  </si>
  <si>
    <t>ORD00066</t>
  </si>
  <si>
    <t>L00066</t>
  </si>
  <si>
    <t>C0050</t>
  </si>
  <si>
    <t>ORD00067</t>
  </si>
  <si>
    <t>L00067</t>
  </si>
  <si>
    <t>ORD00068</t>
  </si>
  <si>
    <t>L00068</t>
  </si>
  <si>
    <t>C0011</t>
  </si>
  <si>
    <t>ORD00069</t>
  </si>
  <si>
    <t>L00069</t>
  </si>
  <si>
    <t>C0049</t>
  </si>
  <si>
    <t>ORD00070</t>
  </si>
  <si>
    <t>L00070</t>
  </si>
  <si>
    <t>ORD00071</t>
  </si>
  <si>
    <t>L00071</t>
  </si>
  <si>
    <t>ORD00072</t>
  </si>
  <si>
    <t>L00072</t>
  </si>
  <si>
    <t>C0026</t>
  </si>
  <si>
    <t>ORD00073</t>
  </si>
  <si>
    <t>L00073</t>
  </si>
  <si>
    <t>ORD00074</t>
  </si>
  <si>
    <t>L00074</t>
  </si>
  <si>
    <t>C0022</t>
  </si>
  <si>
    <t>ORD00075</t>
  </si>
  <si>
    <t>L00075</t>
  </si>
  <si>
    <t>ORD00076</t>
  </si>
  <si>
    <t>L00076</t>
  </si>
  <si>
    <t>C0076</t>
  </si>
  <si>
    <t>ORD00077</t>
  </si>
  <si>
    <t>L00077</t>
  </si>
  <si>
    <t>C0006</t>
  </si>
  <si>
    <t>ORD00078</t>
  </si>
  <si>
    <t>L00078</t>
  </si>
  <si>
    <t>C0083</t>
  </si>
  <si>
    <t>ORD00079</t>
  </si>
  <si>
    <t>L00079</t>
  </si>
  <si>
    <t>C0047</t>
  </si>
  <si>
    <t>ORD00080</t>
  </si>
  <si>
    <t>L00080</t>
  </si>
  <si>
    <t>C0084</t>
  </si>
  <si>
    <t>ORD00081</t>
  </si>
  <si>
    <t>L00081</t>
  </si>
  <si>
    <t>C0035</t>
  </si>
  <si>
    <t>ORD00082</t>
  </si>
  <si>
    <t>L00082</t>
  </si>
  <si>
    <t>ORD00083</t>
  </si>
  <si>
    <t>L00083</t>
  </si>
  <si>
    <t>ORD00084</t>
  </si>
  <si>
    <t>L00084</t>
  </si>
  <si>
    <t>ORD00085</t>
  </si>
  <si>
    <t>L00085</t>
  </si>
  <si>
    <t>ORD00086</t>
  </si>
  <si>
    <t>L00086</t>
  </si>
  <si>
    <t>ORD00087</t>
  </si>
  <si>
    <t>L00087</t>
  </si>
  <si>
    <t>ORD00088</t>
  </si>
  <si>
    <t>L00088</t>
  </si>
  <si>
    <t>C0046</t>
  </si>
  <si>
    <t>ORD00089</t>
  </si>
  <si>
    <t>L00089</t>
  </si>
  <si>
    <t>ORD00090</t>
  </si>
  <si>
    <t>L00090</t>
  </si>
  <si>
    <t>P011</t>
  </si>
  <si>
    <t>C0028</t>
  </si>
  <si>
    <t>ORD00091</t>
  </si>
  <si>
    <t>L00091</t>
  </si>
  <si>
    <t>ORD00092</t>
  </si>
  <si>
    <t>L00092</t>
  </si>
  <si>
    <t>ORD00093</t>
  </si>
  <si>
    <t>L00093</t>
  </si>
  <si>
    <t>ORD00094</t>
  </si>
  <si>
    <t>L00094</t>
  </si>
  <si>
    <t>ORD00095</t>
  </si>
  <si>
    <t>L00095</t>
  </si>
  <si>
    <t>C0033</t>
  </si>
  <si>
    <t>ORD00096</t>
  </si>
  <si>
    <t>L00096</t>
  </si>
  <si>
    <t>C0074</t>
  </si>
  <si>
    <t>ORD00097</t>
  </si>
  <si>
    <t>L00097</t>
  </si>
  <si>
    <t>ORD00098</t>
  </si>
  <si>
    <t>L00098</t>
  </si>
  <si>
    <t>ORD00099</t>
  </si>
  <si>
    <t>L00099</t>
  </si>
  <si>
    <t>C0040</t>
  </si>
  <si>
    <t>ORD00100</t>
  </si>
  <si>
    <t>L00100</t>
  </si>
  <si>
    <t>ORD00101</t>
  </si>
  <si>
    <t>L00101</t>
  </si>
  <si>
    <t>P006</t>
  </si>
  <si>
    <t>ORD00102</t>
  </si>
  <si>
    <t>L00102</t>
  </si>
  <si>
    <t>P014</t>
  </si>
  <si>
    <t>C0005</t>
  </si>
  <si>
    <t>ORD00103</t>
  </si>
  <si>
    <t>L00103</t>
  </si>
  <si>
    <t>ORD00104</t>
  </si>
  <si>
    <t>L00104</t>
  </si>
  <si>
    <t>ORD00105</t>
  </si>
  <si>
    <t>L00105</t>
  </si>
  <si>
    <t>C0096</t>
  </si>
  <si>
    <t>ORD00106</t>
  </si>
  <si>
    <t>L00106</t>
  </si>
  <si>
    <t>ORD00107</t>
  </si>
  <si>
    <t>L00107</t>
  </si>
  <si>
    <t>C0095</t>
  </si>
  <si>
    <t>ORD00108</t>
  </si>
  <si>
    <t>L00108</t>
  </si>
  <si>
    <t>ORD00109</t>
  </si>
  <si>
    <t>L00109</t>
  </si>
  <si>
    <t>ORD00110</t>
  </si>
  <si>
    <t>L00110</t>
  </si>
  <si>
    <t>ORD00111</t>
  </si>
  <si>
    <t>L00111</t>
  </si>
  <si>
    <t>ORD00112</t>
  </si>
  <si>
    <t>L00112</t>
  </si>
  <si>
    <t>ORD00113</t>
  </si>
  <si>
    <t>L00113</t>
  </si>
  <si>
    <t>ORD00114</t>
  </si>
  <si>
    <t>L00114</t>
  </si>
  <si>
    <t>ORD00115</t>
  </si>
  <si>
    <t>L00115</t>
  </si>
  <si>
    <t>ORD00116</t>
  </si>
  <si>
    <t>L00116</t>
  </si>
  <si>
    <t>ORD00117</t>
  </si>
  <si>
    <t>L00117</t>
  </si>
  <si>
    <t>ORD00118</t>
  </si>
  <si>
    <t>L00118</t>
  </si>
  <si>
    <t>ORD00119</t>
  </si>
  <si>
    <t>L00119</t>
  </si>
  <si>
    <t>ORD00120</t>
  </si>
  <si>
    <t>L00120</t>
  </si>
  <si>
    <t>ORD00121</t>
  </si>
  <si>
    <t>L00121</t>
  </si>
  <si>
    <t>ORD00122</t>
  </si>
  <si>
    <t>L00122</t>
  </si>
  <si>
    <t>ORD00123</t>
  </si>
  <si>
    <t>L00123</t>
  </si>
  <si>
    <t>ORD00124</t>
  </si>
  <si>
    <t>L00124</t>
  </si>
  <si>
    <t>C0045</t>
  </si>
  <si>
    <t>ORD00125</t>
  </si>
  <si>
    <t>L00125</t>
  </si>
  <si>
    <t>ORD00126</t>
  </si>
  <si>
    <t>L00126</t>
  </si>
  <si>
    <t>ORD00127</t>
  </si>
  <si>
    <t>L00127</t>
  </si>
  <si>
    <t>ORD00128</t>
  </si>
  <si>
    <t>L00128</t>
  </si>
  <si>
    <t>ORD00129</t>
  </si>
  <si>
    <t>L00129</t>
  </si>
  <si>
    <t>ORD00130</t>
  </si>
  <si>
    <t>L00130</t>
  </si>
  <si>
    <t>ORD00131</t>
  </si>
  <si>
    <t>L00131</t>
  </si>
  <si>
    <t>C0009</t>
  </si>
  <si>
    <t>ORD00132</t>
  </si>
  <si>
    <t>L00132</t>
  </si>
  <si>
    <t>ORD00133</t>
  </si>
  <si>
    <t>L00133</t>
  </si>
  <si>
    <t>ORD00134</t>
  </si>
  <si>
    <t>L00134</t>
  </si>
  <si>
    <t>ORD00135</t>
  </si>
  <si>
    <t>L00135</t>
  </si>
  <si>
    <t>C0079</t>
  </si>
  <si>
    <t>ORD00136</t>
  </si>
  <si>
    <t>L00136</t>
  </si>
  <si>
    <t>ORD00137</t>
  </si>
  <si>
    <t>L00137</t>
  </si>
  <si>
    <t>ORD00138</t>
  </si>
  <si>
    <t>L00138</t>
  </si>
  <si>
    <t>ORD00139</t>
  </si>
  <si>
    <t>L00139</t>
  </si>
  <si>
    <t>ORD00140</t>
  </si>
  <si>
    <t>L00140</t>
  </si>
  <si>
    <t>ORD00141</t>
  </si>
  <si>
    <t>L00141</t>
  </si>
  <si>
    <t>ORD00142</t>
  </si>
  <si>
    <t>L00142</t>
  </si>
  <si>
    <t>C0100</t>
  </si>
  <si>
    <t>ORD00143</t>
  </si>
  <si>
    <t>L00143</t>
  </si>
  <si>
    <t>ORD00144</t>
  </si>
  <si>
    <t>L00144</t>
  </si>
  <si>
    <t>ORD00145</t>
  </si>
  <si>
    <t>L00145</t>
  </si>
  <si>
    <t>ORD00146</t>
  </si>
  <si>
    <t>L00146</t>
  </si>
  <si>
    <t>ORD00147</t>
  </si>
  <si>
    <t>L00147</t>
  </si>
  <si>
    <t>ORD00148</t>
  </si>
  <si>
    <t>L00148</t>
  </si>
  <si>
    <t>P026</t>
  </si>
  <si>
    <t>ORD00149</t>
  </si>
  <si>
    <t>L00149</t>
  </si>
  <si>
    <t>C0051</t>
  </si>
  <si>
    <t>ORD00150</t>
  </si>
  <si>
    <t>L00150</t>
  </si>
  <si>
    <t>ORD00151</t>
  </si>
  <si>
    <t>L00151</t>
  </si>
  <si>
    <t>ORD00152</t>
  </si>
  <si>
    <t>L00152</t>
  </si>
  <si>
    <t>ORD00153</t>
  </si>
  <si>
    <t>L00153</t>
  </si>
  <si>
    <t>C0064</t>
  </si>
  <si>
    <t>ORD00154</t>
  </si>
  <si>
    <t>L00154</t>
  </si>
  <si>
    <t>ORD00155</t>
  </si>
  <si>
    <t>L00155</t>
  </si>
  <si>
    <t>ORD00156</t>
  </si>
  <si>
    <t>L00156</t>
  </si>
  <si>
    <t>ORD00157</t>
  </si>
  <si>
    <t>L00157</t>
  </si>
  <si>
    <t>ORD00158</t>
  </si>
  <si>
    <t>L00158</t>
  </si>
  <si>
    <t>ORD00159</t>
  </si>
  <si>
    <t>L00159</t>
  </si>
  <si>
    <t>ORD00160</t>
  </si>
  <si>
    <t>L00160</t>
  </si>
  <si>
    <t>ORD00161</t>
  </si>
  <si>
    <t>L00161</t>
  </si>
  <si>
    <t>ORD00162</t>
  </si>
  <si>
    <t>L00162</t>
  </si>
  <si>
    <t>ORD00163</t>
  </si>
  <si>
    <t>L00163</t>
  </si>
  <si>
    <t>ORD00164</t>
  </si>
  <si>
    <t>L00164</t>
  </si>
  <si>
    <t>ORD00165</t>
  </si>
  <si>
    <t>L00165</t>
  </si>
  <si>
    <t>ORD00166</t>
  </si>
  <si>
    <t>L00166</t>
  </si>
  <si>
    <t>ORD00167</t>
  </si>
  <si>
    <t>L00167</t>
  </si>
  <si>
    <t>ORD00168</t>
  </si>
  <si>
    <t>L00168</t>
  </si>
  <si>
    <t>C0055</t>
  </si>
  <si>
    <t>ORD00169</t>
  </si>
  <si>
    <t>L00169</t>
  </si>
  <si>
    <t>ORD00170</t>
  </si>
  <si>
    <t>L00170</t>
  </si>
  <si>
    <t>ORD00171</t>
  </si>
  <si>
    <t>L00171</t>
  </si>
  <si>
    <t>ORD00172</t>
  </si>
  <si>
    <t>L00172</t>
  </si>
  <si>
    <t>C0058</t>
  </si>
  <si>
    <t>ORD00173</t>
  </si>
  <si>
    <t>L00173</t>
  </si>
  <si>
    <t>C0094</t>
  </si>
  <si>
    <t>ORD00174</t>
  </si>
  <si>
    <t>L00174</t>
  </si>
  <si>
    <t>C0020</t>
  </si>
  <si>
    <t>ORD00175</t>
  </si>
  <si>
    <t>L00175</t>
  </si>
  <si>
    <t>ORD00176</t>
  </si>
  <si>
    <t>L00176</t>
  </si>
  <si>
    <t>C0072</t>
  </si>
  <si>
    <t>ORD00177</t>
  </si>
  <si>
    <t>L00177</t>
  </si>
  <si>
    <t>ORD00178</t>
  </si>
  <si>
    <t>L00178</t>
  </si>
  <si>
    <t>ORD00179</t>
  </si>
  <si>
    <t>L00179</t>
  </si>
  <si>
    <t>ORD00180</t>
  </si>
  <si>
    <t>L00180</t>
  </si>
  <si>
    <t>ORD00181</t>
  </si>
  <si>
    <t>L00181</t>
  </si>
  <si>
    <t>ORD00182</t>
  </si>
  <si>
    <t>L00182</t>
  </si>
  <si>
    <t>ORD00183</t>
  </si>
  <si>
    <t>L00183</t>
  </si>
  <si>
    <t>ORD00184</t>
  </si>
  <si>
    <t>L00184</t>
  </si>
  <si>
    <t>ORD00185</t>
  </si>
  <si>
    <t>L00185</t>
  </si>
  <si>
    <t>ORD00186</t>
  </si>
  <si>
    <t>L00186</t>
  </si>
  <si>
    <t>C0063</t>
  </si>
  <si>
    <t>ORD00187</t>
  </si>
  <si>
    <t>L00187</t>
  </si>
  <si>
    <t>ORD00188</t>
  </si>
  <si>
    <t>L00188</t>
  </si>
  <si>
    <t>ORD00189</t>
  </si>
  <si>
    <t>L00189</t>
  </si>
  <si>
    <t>ORD00190</t>
  </si>
  <si>
    <t>L00190</t>
  </si>
  <si>
    <t>ORD00191</t>
  </si>
  <si>
    <t>L00191</t>
  </si>
  <si>
    <t>ORD00192</t>
  </si>
  <si>
    <t>L00192</t>
  </si>
  <si>
    <t>ORD00193</t>
  </si>
  <si>
    <t>L00193</t>
  </si>
  <si>
    <t>ORD00194</t>
  </si>
  <si>
    <t>L00194</t>
  </si>
  <si>
    <t>ORD00195</t>
  </si>
  <si>
    <t>L00195</t>
  </si>
  <si>
    <t>ORD00196</t>
  </si>
  <si>
    <t>L00196</t>
  </si>
  <si>
    <t>ORD00197</t>
  </si>
  <si>
    <t>L00197</t>
  </si>
  <si>
    <t>ORD00198</t>
  </si>
  <si>
    <t>L00198</t>
  </si>
  <si>
    <t>ORD00199</t>
  </si>
  <si>
    <t>L00199</t>
  </si>
  <si>
    <t>ORD00200</t>
  </si>
  <si>
    <t>L00200</t>
  </si>
  <si>
    <t>ORD00201</t>
  </si>
  <si>
    <t>L00201</t>
  </si>
  <si>
    <t>ORD00202</t>
  </si>
  <si>
    <t>L00202</t>
  </si>
  <si>
    <t>ORD00203</t>
  </si>
  <si>
    <t>L00203</t>
  </si>
  <si>
    <t>C0048</t>
  </si>
  <si>
    <t>ORD00204</t>
  </si>
  <si>
    <t>L00204</t>
  </si>
  <si>
    <t>ORD00205</t>
  </si>
  <si>
    <t>L00205</t>
  </si>
  <si>
    <t>ORD00206</t>
  </si>
  <si>
    <t>L00206</t>
  </si>
  <si>
    <t>C0044</t>
  </si>
  <si>
    <t>ORD00207</t>
  </si>
  <si>
    <t>L00207</t>
  </si>
  <si>
    <t>ORD00208</t>
  </si>
  <si>
    <t>L00208</t>
  </si>
  <si>
    <t>ORD00209</t>
  </si>
  <si>
    <t>L00209</t>
  </si>
  <si>
    <t>ORD00210</t>
  </si>
  <si>
    <t>L00210</t>
  </si>
  <si>
    <t>ORD00211</t>
  </si>
  <si>
    <t>L00211</t>
  </si>
  <si>
    <t>ORD00212</t>
  </si>
  <si>
    <t>L00212</t>
  </si>
  <si>
    <t>C0012</t>
  </si>
  <si>
    <t>ORD00213</t>
  </si>
  <si>
    <t>L00213</t>
  </si>
  <si>
    <t>C0024</t>
  </si>
  <si>
    <t>ORD00214</t>
  </si>
  <si>
    <t>L00214</t>
  </si>
  <si>
    <t>ORD00215</t>
  </si>
  <si>
    <t>L00215</t>
  </si>
  <si>
    <t>ORD00216</t>
  </si>
  <si>
    <t>L00216</t>
  </si>
  <si>
    <t>ORD00217</t>
  </si>
  <si>
    <t>L00217</t>
  </si>
  <si>
    <t>ORD00218</t>
  </si>
  <si>
    <t>L00218</t>
  </si>
  <si>
    <t>ORD00219</t>
  </si>
  <si>
    <t>L00219</t>
  </si>
  <si>
    <t>ORD00220</t>
  </si>
  <si>
    <t>L00220</t>
  </si>
  <si>
    <t>ORD00221</t>
  </si>
  <si>
    <t>L00221</t>
  </si>
  <si>
    <t>ORD00222</t>
  </si>
  <si>
    <t>L00222</t>
  </si>
  <si>
    <t>C0016</t>
  </si>
  <si>
    <t>ORD00223</t>
  </si>
  <si>
    <t>L00223</t>
  </si>
  <si>
    <t>ORD00224</t>
  </si>
  <si>
    <t>L00224</t>
  </si>
  <si>
    <t>ORD00225</t>
  </si>
  <si>
    <t>L00225</t>
  </si>
  <si>
    <t>ORD00226</t>
  </si>
  <si>
    <t>L00226</t>
  </si>
  <si>
    <t>ORD00227</t>
  </si>
  <si>
    <t>L00227</t>
  </si>
  <si>
    <t>ORD00228</t>
  </si>
  <si>
    <t>L00228</t>
  </si>
  <si>
    <t>ORD00229</t>
  </si>
  <si>
    <t>L00229</t>
  </si>
  <si>
    <t>ORD00230</t>
  </si>
  <si>
    <t>L00230</t>
  </si>
  <si>
    <t>ORD00231</t>
  </si>
  <si>
    <t>L00231</t>
  </si>
  <si>
    <t>C0038</t>
  </si>
  <si>
    <t>ORD00232</t>
  </si>
  <si>
    <t>L00232</t>
  </si>
  <si>
    <t>ORD00233</t>
  </si>
  <si>
    <t>L00233</t>
  </si>
  <si>
    <t>ORD00234</t>
  </si>
  <si>
    <t>L00234</t>
  </si>
  <si>
    <t>ORD00235</t>
  </si>
  <si>
    <t>L00235</t>
  </si>
  <si>
    <t>ORD00236</t>
  </si>
  <si>
    <t>L00236</t>
  </si>
  <si>
    <t>ORD00237</t>
  </si>
  <si>
    <t>L00237</t>
  </si>
  <si>
    <t>ORD00238</t>
  </si>
  <si>
    <t>L00238</t>
  </si>
  <si>
    <t>ORD00239</t>
  </si>
  <si>
    <t>L00239</t>
  </si>
  <si>
    <t>ORD00240</t>
  </si>
  <si>
    <t>L00240</t>
  </si>
  <si>
    <t>ORD00241</t>
  </si>
  <si>
    <t>L00241</t>
  </si>
  <si>
    <t>ORD00242</t>
  </si>
  <si>
    <t>L00242</t>
  </si>
  <si>
    <t>C0089</t>
  </si>
  <si>
    <t>ORD00243</t>
  </si>
  <si>
    <t>L00243</t>
  </si>
  <si>
    <t>ORD00244</t>
  </si>
  <si>
    <t>L00244</t>
  </si>
  <si>
    <t>ORD00245</t>
  </si>
  <si>
    <t>L00245</t>
  </si>
  <si>
    <t>C0092</t>
  </si>
  <si>
    <t>ORD00246</t>
  </si>
  <si>
    <t>L00246</t>
  </si>
  <si>
    <t>ORD00247</t>
  </si>
  <si>
    <t>L00247</t>
  </si>
  <si>
    <t>ORD00248</t>
  </si>
  <si>
    <t>L00248</t>
  </si>
  <si>
    <t>ORD00249</t>
  </si>
  <si>
    <t>L00249</t>
  </si>
  <si>
    <t>ORD00250</t>
  </si>
  <si>
    <t>L00250</t>
  </si>
  <si>
    <t>ORD00251</t>
  </si>
  <si>
    <t>L00251</t>
  </si>
  <si>
    <t>ORD00252</t>
  </si>
  <si>
    <t>L00252</t>
  </si>
  <si>
    <t>ORD00253</t>
  </si>
  <si>
    <t>L00253</t>
  </si>
  <si>
    <t>ORD00254</t>
  </si>
  <si>
    <t>L00254</t>
  </si>
  <si>
    <t>ORD00255</t>
  </si>
  <si>
    <t>L00255</t>
  </si>
  <si>
    <t>ORD00256</t>
  </si>
  <si>
    <t>L00256</t>
  </si>
  <si>
    <t>ORD00257</t>
  </si>
  <si>
    <t>L00257</t>
  </si>
  <si>
    <t>C0066</t>
  </si>
  <si>
    <t>ORD00258</t>
  </si>
  <si>
    <t>L00258</t>
  </si>
  <si>
    <t>ORD00259</t>
  </si>
  <si>
    <t>L00259</t>
  </si>
  <si>
    <t>ORD00260</t>
  </si>
  <si>
    <t>L00260</t>
  </si>
  <si>
    <t>C0053</t>
  </si>
  <si>
    <t>ORD00261</t>
  </si>
  <si>
    <t>L00261</t>
  </si>
  <si>
    <t>ORD00262</t>
  </si>
  <si>
    <t>L00262</t>
  </si>
  <si>
    <t>ORD00263</t>
  </si>
  <si>
    <t>L00263</t>
  </si>
  <si>
    <t>ORD00264</t>
  </si>
  <si>
    <t>L00264</t>
  </si>
  <si>
    <t>ORD00265</t>
  </si>
  <si>
    <t>L00265</t>
  </si>
  <si>
    <t>ORD00266</t>
  </si>
  <si>
    <t>L00266</t>
  </si>
  <si>
    <t>ORD00267</t>
  </si>
  <si>
    <t>L00267</t>
  </si>
  <si>
    <t>ORD00268</t>
  </si>
  <si>
    <t>L00268</t>
  </si>
  <si>
    <t>ORD00269</t>
  </si>
  <si>
    <t>L00269</t>
  </si>
  <si>
    <t>C0081</t>
  </si>
  <si>
    <t>ORD00270</t>
  </si>
  <si>
    <t>L00270</t>
  </si>
  <si>
    <t>ORD00271</t>
  </si>
  <si>
    <t>L00271</t>
  </si>
  <si>
    <t>ORD00272</t>
  </si>
  <si>
    <t>L00272</t>
  </si>
  <si>
    <t>ORD00273</t>
  </si>
  <si>
    <t>L00273</t>
  </si>
  <si>
    <t>ORD00274</t>
  </si>
  <si>
    <t>L00274</t>
  </si>
  <si>
    <t>ORD00275</t>
  </si>
  <si>
    <t>L00275</t>
  </si>
  <si>
    <t>ORD00276</t>
  </si>
  <si>
    <t>L00276</t>
  </si>
  <si>
    <t>ORD00277</t>
  </si>
  <si>
    <t>L00277</t>
  </si>
  <si>
    <t>ORD00278</t>
  </si>
  <si>
    <t>L00278</t>
  </si>
  <si>
    <t>ORD00279</t>
  </si>
  <si>
    <t>L00279</t>
  </si>
  <si>
    <t>ORD00280</t>
  </si>
  <si>
    <t>L00280</t>
  </si>
  <si>
    <t>ORD00281</t>
  </si>
  <si>
    <t>L00281</t>
  </si>
  <si>
    <t>ORD00282</t>
  </si>
  <si>
    <t>L00282</t>
  </si>
  <si>
    <t>ORD00283</t>
  </si>
  <si>
    <t>L00283</t>
  </si>
  <si>
    <t>ORD00284</t>
  </si>
  <si>
    <t>L00284</t>
  </si>
  <si>
    <t>ORD00285</t>
  </si>
  <si>
    <t>L00285</t>
  </si>
  <si>
    <t>ORD00286</t>
  </si>
  <si>
    <t>L00286</t>
  </si>
  <si>
    <t>ORD00287</t>
  </si>
  <si>
    <t>L00287</t>
  </si>
  <si>
    <t>ORD00288</t>
  </si>
  <si>
    <t>L00288</t>
  </si>
  <si>
    <t>ORD00289</t>
  </si>
  <si>
    <t>L00289</t>
  </si>
  <si>
    <t>ORD00290</t>
  </si>
  <si>
    <t>L00290</t>
  </si>
  <si>
    <t>ORD00291</t>
  </si>
  <si>
    <t>L00291</t>
  </si>
  <si>
    <t>ORD00292</t>
  </si>
  <si>
    <t>L00292</t>
  </si>
  <si>
    <t>ORD00293</t>
  </si>
  <si>
    <t>L00293</t>
  </si>
  <si>
    <t>ORD00294</t>
  </si>
  <si>
    <t>L00294</t>
  </si>
  <si>
    <t>ORD00295</t>
  </si>
  <si>
    <t>L00295</t>
  </si>
  <si>
    <t>ORD00296</t>
  </si>
  <si>
    <t>L00296</t>
  </si>
  <si>
    <t>ORD00297</t>
  </si>
  <si>
    <t>L00297</t>
  </si>
  <si>
    <t>ORD00298</t>
  </si>
  <si>
    <t>L00298</t>
  </si>
  <si>
    <t>ORD00299</t>
  </si>
  <si>
    <t>L00299</t>
  </si>
  <si>
    <t>ORD00300</t>
  </si>
  <si>
    <t>L00300</t>
  </si>
  <si>
    <t>ORD00301</t>
  </si>
  <si>
    <t>L00301</t>
  </si>
  <si>
    <t>ORD00302</t>
  </si>
  <si>
    <t>L00302</t>
  </si>
  <si>
    <t>ORD00303</t>
  </si>
  <si>
    <t>L00303</t>
  </si>
  <si>
    <t>ORD00304</t>
  </si>
  <si>
    <t>L00304</t>
  </si>
  <si>
    <t>ORD00305</t>
  </si>
  <si>
    <t>L00305</t>
  </si>
  <si>
    <t>ORD00306</t>
  </si>
  <si>
    <t>L00306</t>
  </si>
  <si>
    <t>ORD00307</t>
  </si>
  <si>
    <t>L00307</t>
  </si>
  <si>
    <t>C0069</t>
  </si>
  <si>
    <t>ORD00308</t>
  </si>
  <si>
    <t>L00308</t>
  </si>
  <si>
    <t>ORD00309</t>
  </si>
  <si>
    <t>L00309</t>
  </si>
  <si>
    <t>C0073</t>
  </si>
  <si>
    <t>ORD00310</t>
  </si>
  <si>
    <t>L00310</t>
  </si>
  <si>
    <t>ORD00311</t>
  </si>
  <si>
    <t>L00311</t>
  </si>
  <si>
    <t>ORD00312</t>
  </si>
  <si>
    <t>L00312</t>
  </si>
  <si>
    <t>ORD00313</t>
  </si>
  <si>
    <t>L00313</t>
  </si>
  <si>
    <t>ORD00314</t>
  </si>
  <si>
    <t>L00314</t>
  </si>
  <si>
    <t>ORD00315</t>
  </si>
  <si>
    <t>L00315</t>
  </si>
  <si>
    <t>ORD00316</t>
  </si>
  <si>
    <t>L00316</t>
  </si>
  <si>
    <t>ORD00317</t>
  </si>
  <si>
    <t>L00317</t>
  </si>
  <si>
    <t>ORD00318</t>
  </si>
  <si>
    <t>L00318</t>
  </si>
  <si>
    <t>ORD00319</t>
  </si>
  <si>
    <t>L00319</t>
  </si>
  <si>
    <t>ORD00320</t>
  </si>
  <si>
    <t>L00320</t>
  </si>
  <si>
    <t>ORD00321</t>
  </si>
  <si>
    <t>L00321</t>
  </si>
  <si>
    <t>ORD00322</t>
  </si>
  <si>
    <t>L00322</t>
  </si>
  <si>
    <t>ORD00323</t>
  </si>
  <si>
    <t>L00323</t>
  </si>
  <si>
    <t>C0088</t>
  </si>
  <si>
    <t>ORD00324</t>
  </si>
  <si>
    <t>L00324</t>
  </si>
  <si>
    <t>C0008</t>
  </si>
  <si>
    <t>ORD00325</t>
  </si>
  <si>
    <t>L00325</t>
  </si>
  <si>
    <t>ORD00326</t>
  </si>
  <si>
    <t>L00326</t>
  </si>
  <si>
    <t>ORD00327</t>
  </si>
  <si>
    <t>L00327</t>
  </si>
  <si>
    <t>ORD00328</t>
  </si>
  <si>
    <t>L00328</t>
  </si>
  <si>
    <t>ORD00329</t>
  </si>
  <si>
    <t>L00329</t>
  </si>
  <si>
    <t>ORD00330</t>
  </si>
  <si>
    <t>L00330</t>
  </si>
  <si>
    <t>ORD00331</t>
  </si>
  <si>
    <t>L00331</t>
  </si>
  <si>
    <t>ORD00332</t>
  </si>
  <si>
    <t>L00332</t>
  </si>
  <si>
    <t>ORD00333</t>
  </si>
  <si>
    <t>L00333</t>
  </si>
  <si>
    <t>ORD00334</t>
  </si>
  <si>
    <t>L00334</t>
  </si>
  <si>
    <t>ORD00335</t>
  </si>
  <si>
    <t>L00335</t>
  </si>
  <si>
    <t>ORD00336</t>
  </si>
  <si>
    <t>L00336</t>
  </si>
  <si>
    <t>ORD00337</t>
  </si>
  <si>
    <t>L00337</t>
  </si>
  <si>
    <t>ORD00338</t>
  </si>
  <si>
    <t>L00338</t>
  </si>
  <si>
    <t>ORD00339</t>
  </si>
  <si>
    <t>L00339</t>
  </si>
  <si>
    <t>ORD00340</t>
  </si>
  <si>
    <t>L00340</t>
  </si>
  <si>
    <t>ORD00341</t>
  </si>
  <si>
    <t>L00341</t>
  </si>
  <si>
    <t>ORD00342</t>
  </si>
  <si>
    <t>L00342</t>
  </si>
  <si>
    <t>ORD00343</t>
  </si>
  <si>
    <t>L00343</t>
  </si>
  <si>
    <t>ORD00344</t>
  </si>
  <si>
    <t>L00344</t>
  </si>
  <si>
    <t>ORD00345</t>
  </si>
  <si>
    <t>L00345</t>
  </si>
  <si>
    <t>ORD00346</t>
  </si>
  <si>
    <t>L00346</t>
  </si>
  <si>
    <t>ORD00347</t>
  </si>
  <si>
    <t>L00347</t>
  </si>
  <si>
    <t>ORD00348</t>
  </si>
  <si>
    <t>L00348</t>
  </si>
  <si>
    <t>ORD00349</t>
  </si>
  <si>
    <t>L00349</t>
  </si>
  <si>
    <t>ORD00350</t>
  </si>
  <si>
    <t>L00350</t>
  </si>
  <si>
    <t>ORD00351</t>
  </si>
  <si>
    <t>L00351</t>
  </si>
  <si>
    <t>ORD00352</t>
  </si>
  <si>
    <t>L00352</t>
  </si>
  <si>
    <t>ORD00353</t>
  </si>
  <si>
    <t>L00353</t>
  </si>
  <si>
    <t>ORD00354</t>
  </si>
  <si>
    <t>L00354</t>
  </si>
  <si>
    <t>ORD00355</t>
  </si>
  <si>
    <t>L00355</t>
  </si>
  <si>
    <t>ORD00356</t>
  </si>
  <si>
    <t>L00356</t>
  </si>
  <si>
    <t>ORD00357</t>
  </si>
  <si>
    <t>L00357</t>
  </si>
  <si>
    <t>C0018</t>
  </si>
  <si>
    <t>ORD00358</t>
  </si>
  <si>
    <t>L00358</t>
  </si>
  <si>
    <t>ORD00359</t>
  </si>
  <si>
    <t>L00359</t>
  </si>
  <si>
    <t>ORD00360</t>
  </si>
  <si>
    <t>L00360</t>
  </si>
  <si>
    <t>ORD00361</t>
  </si>
  <si>
    <t>L00361</t>
  </si>
  <si>
    <t>ORD00362</t>
  </si>
  <si>
    <t>L00362</t>
  </si>
  <si>
    <t>ORD00363</t>
  </si>
  <si>
    <t>L00363</t>
  </si>
  <si>
    <t>ORD00364</t>
  </si>
  <si>
    <t>L00364</t>
  </si>
  <si>
    <t>ORD00365</t>
  </si>
  <si>
    <t>L00365</t>
  </si>
  <si>
    <t>ORD00366</t>
  </si>
  <si>
    <t>L00366</t>
  </si>
  <si>
    <t>ORD00367</t>
  </si>
  <si>
    <t>L00367</t>
  </si>
  <si>
    <t>ORD00368</t>
  </si>
  <si>
    <t>L00368</t>
  </si>
  <si>
    <t>ORD00369</t>
  </si>
  <si>
    <t>L00369</t>
  </si>
  <si>
    <t>ORD00370</t>
  </si>
  <si>
    <t>L00370</t>
  </si>
  <si>
    <t>ORD00371</t>
  </si>
  <si>
    <t>L00371</t>
  </si>
  <si>
    <t>ORD00372</t>
  </si>
  <si>
    <t>L00372</t>
  </si>
  <si>
    <t>ORD00373</t>
  </si>
  <si>
    <t>L00373</t>
  </si>
  <si>
    <t>ORD00374</t>
  </si>
  <si>
    <t>L00374</t>
  </si>
  <si>
    <t>ORD00375</t>
  </si>
  <si>
    <t>L00375</t>
  </si>
  <si>
    <t>ORD00376</t>
  </si>
  <si>
    <t>L00376</t>
  </si>
  <si>
    <t>ORD00377</t>
  </si>
  <si>
    <t>L00377</t>
  </si>
  <si>
    <t>ORD00378</t>
  </si>
  <si>
    <t>L00378</t>
  </si>
  <si>
    <t>ORD00379</t>
  </si>
  <si>
    <t>L00379</t>
  </si>
  <si>
    <t>ORD00380</t>
  </si>
  <si>
    <t>L00380</t>
  </si>
  <si>
    <t>ORD00381</t>
  </si>
  <si>
    <t>L00381</t>
  </si>
  <si>
    <t>ORD00382</t>
  </si>
  <si>
    <t>L00382</t>
  </si>
  <si>
    <t>ORD00383</t>
  </si>
  <si>
    <t>L00383</t>
  </si>
  <si>
    <t>ORD00384</t>
  </si>
  <si>
    <t>L00384</t>
  </si>
  <si>
    <t>ORD00385</t>
  </si>
  <si>
    <t>L00385</t>
  </si>
  <si>
    <t>ORD00386</t>
  </si>
  <si>
    <t>L00386</t>
  </si>
  <si>
    <t>ORD00387</t>
  </si>
  <si>
    <t>L00387</t>
  </si>
  <si>
    <t>ORD00388</t>
  </si>
  <si>
    <t>L00388</t>
  </si>
  <si>
    <t>ORD00389</t>
  </si>
  <si>
    <t>L00389</t>
  </si>
  <si>
    <t>ORD00390</t>
  </si>
  <si>
    <t>L00390</t>
  </si>
  <si>
    <t>ORD00391</t>
  </si>
  <si>
    <t>L00391</t>
  </si>
  <si>
    <t>ORD00392</t>
  </si>
  <si>
    <t>L00392</t>
  </si>
  <si>
    <t>ORD00393</t>
  </si>
  <si>
    <t>L00393</t>
  </si>
  <si>
    <t>ORD00394</t>
  </si>
  <si>
    <t>L00394</t>
  </si>
  <si>
    <t>ORD00395</t>
  </si>
  <si>
    <t>L00395</t>
  </si>
  <si>
    <t>ORD00396</t>
  </si>
  <si>
    <t>L00396</t>
  </si>
  <si>
    <t>ORD00397</t>
  </si>
  <si>
    <t>L00397</t>
  </si>
  <si>
    <t>ORD00398</t>
  </si>
  <si>
    <t>L00398</t>
  </si>
  <si>
    <t>ORD00399</t>
  </si>
  <si>
    <t>L00399</t>
  </si>
  <si>
    <t>ORD00400</t>
  </si>
  <si>
    <t>L00400</t>
  </si>
  <si>
    <t>ORD00401</t>
  </si>
  <si>
    <t>L00401</t>
  </si>
  <si>
    <t>ORD00402</t>
  </si>
  <si>
    <t>L00402</t>
  </si>
  <si>
    <t>ORD00403</t>
  </si>
  <si>
    <t>L00403</t>
  </si>
  <si>
    <t>ORD00404</t>
  </si>
  <si>
    <t>L00404</t>
  </si>
  <si>
    <t>ORD00405</t>
  </si>
  <si>
    <t>L00405</t>
  </si>
  <si>
    <t>ORD00406</t>
  </si>
  <si>
    <t>L00406</t>
  </si>
  <si>
    <t>ORD00407</t>
  </si>
  <si>
    <t>L00407</t>
  </si>
  <si>
    <t>ORD00408</t>
  </si>
  <si>
    <t>L00408</t>
  </si>
  <si>
    <t>ORD00409</t>
  </si>
  <si>
    <t>L00409</t>
  </si>
  <si>
    <t>ORD00410</t>
  </si>
  <si>
    <t>L00410</t>
  </si>
  <si>
    <t>ORD00411</t>
  </si>
  <si>
    <t>L00411</t>
  </si>
  <si>
    <t>ORD00412</t>
  </si>
  <si>
    <t>L00412</t>
  </si>
  <si>
    <t>ORD00413</t>
  </si>
  <si>
    <t>L00413</t>
  </si>
  <si>
    <t>ORD00414</t>
  </si>
  <si>
    <t>L00414</t>
  </si>
  <si>
    <t>ORD00415</t>
  </si>
  <si>
    <t>L00415</t>
  </si>
  <si>
    <t>ORD00416</t>
  </si>
  <si>
    <t>L00416</t>
  </si>
  <si>
    <t>ORD00417</t>
  </si>
  <si>
    <t>L00417</t>
  </si>
  <si>
    <t>ORD00418</t>
  </si>
  <si>
    <t>L00418</t>
  </si>
  <si>
    <t>ORD00419</t>
  </si>
  <si>
    <t>L00419</t>
  </si>
  <si>
    <t>ORD00420</t>
  </si>
  <si>
    <t>L00420</t>
  </si>
  <si>
    <t>ORD00421</t>
  </si>
  <si>
    <t>L00421</t>
  </si>
  <si>
    <t>ORD00422</t>
  </si>
  <si>
    <t>L00422</t>
  </si>
  <si>
    <t>ORD00423</t>
  </si>
  <si>
    <t>L00423</t>
  </si>
  <si>
    <t>ORD00424</t>
  </si>
  <si>
    <t>L00424</t>
  </si>
  <si>
    <t>ORD00425</t>
  </si>
  <si>
    <t>L00425</t>
  </si>
  <si>
    <t>ORD00426</t>
  </si>
  <si>
    <t>L00426</t>
  </si>
  <si>
    <t>ORD00427</t>
  </si>
  <si>
    <t>L00427</t>
  </si>
  <si>
    <t>ORD00428</t>
  </si>
  <si>
    <t>L00428</t>
  </si>
  <si>
    <t>ORD00429</t>
  </si>
  <si>
    <t>L00429</t>
  </si>
  <si>
    <t>ORD00430</t>
  </si>
  <si>
    <t>L00430</t>
  </si>
  <si>
    <t>C0010</t>
  </si>
  <si>
    <t>ORD00431</t>
  </si>
  <si>
    <t>L00431</t>
  </si>
  <si>
    <t>ORD00432</t>
  </si>
  <si>
    <t>L00432</t>
  </si>
  <si>
    <t>ORD00433</t>
  </si>
  <si>
    <t>L00433</t>
  </si>
  <si>
    <t>ORD00434</t>
  </si>
  <si>
    <t>L00434</t>
  </si>
  <si>
    <t>ORD00435</t>
  </si>
  <si>
    <t>L00435</t>
  </si>
  <si>
    <t>ORD00436</t>
  </si>
  <si>
    <t>L00436</t>
  </si>
  <si>
    <t>ORD00437</t>
  </si>
  <si>
    <t>L00437</t>
  </si>
  <si>
    <t>ORD00438</t>
  </si>
  <si>
    <t>L00438</t>
  </si>
  <si>
    <t>ORD00439</t>
  </si>
  <si>
    <t>L00439</t>
  </si>
  <si>
    <t>ORD00440</t>
  </si>
  <si>
    <t>L00440</t>
  </si>
  <si>
    <t>ORD00441</t>
  </si>
  <si>
    <t>L00441</t>
  </si>
  <si>
    <t>ORD00442</t>
  </si>
  <si>
    <t>L00442</t>
  </si>
  <si>
    <t>ORD00443</t>
  </si>
  <si>
    <t>L00443</t>
  </si>
  <si>
    <t>ORD00444</t>
  </si>
  <si>
    <t>L00444</t>
  </si>
  <si>
    <t>ORD00445</t>
  </si>
  <si>
    <t>L00445</t>
  </si>
  <si>
    <t>ORD00446</t>
  </si>
  <si>
    <t>L00446</t>
  </si>
  <si>
    <t>ORD00447</t>
  </si>
  <si>
    <t>L00447</t>
  </si>
  <si>
    <t>ORD00448</t>
  </si>
  <si>
    <t>L00448</t>
  </si>
  <si>
    <t>ORD00449</t>
  </si>
  <si>
    <t>L00449</t>
  </si>
  <si>
    <t>ORD00450</t>
  </si>
  <si>
    <t>L00450</t>
  </si>
  <si>
    <t>ORD00451</t>
  </si>
  <si>
    <t>L00451</t>
  </si>
  <si>
    <t>ORD00452</t>
  </si>
  <si>
    <t>L00452</t>
  </si>
  <si>
    <t>ORD00453</t>
  </si>
  <si>
    <t>L00453</t>
  </si>
  <si>
    <t>ORD00454</t>
  </si>
  <si>
    <t>L00454</t>
  </si>
  <si>
    <t>ORD00455</t>
  </si>
  <si>
    <t>L00455</t>
  </si>
  <si>
    <t>ORD00456</t>
  </si>
  <si>
    <t>L00456</t>
  </si>
  <si>
    <t>ORD00457</t>
  </si>
  <si>
    <t>L00457</t>
  </si>
  <si>
    <t>ORD00458</t>
  </si>
  <si>
    <t>L00458</t>
  </si>
  <si>
    <t>ORD00459</t>
  </si>
  <si>
    <t>L00459</t>
  </si>
  <si>
    <t>ORD00460</t>
  </si>
  <si>
    <t>L00460</t>
  </si>
  <si>
    <t>ORD00461</t>
  </si>
  <si>
    <t>L00461</t>
  </si>
  <si>
    <t>ORD00462</t>
  </si>
  <si>
    <t>L00462</t>
  </si>
  <si>
    <t>ORD00463</t>
  </si>
  <si>
    <t>L00463</t>
  </si>
  <si>
    <t>ORD00464</t>
  </si>
  <si>
    <t>L00464</t>
  </si>
  <si>
    <t>ORD00465</t>
  </si>
  <si>
    <t>L00465</t>
  </si>
  <si>
    <t>ORD00466</t>
  </si>
  <si>
    <t>L00466</t>
  </si>
  <si>
    <t>ORD00467</t>
  </si>
  <si>
    <t>L00467</t>
  </si>
  <si>
    <t>ORD00468</t>
  </si>
  <si>
    <t>L00468</t>
  </si>
  <si>
    <t>ORD00469</t>
  </si>
  <si>
    <t>L00469</t>
  </si>
  <si>
    <t>ORD00470</t>
  </si>
  <si>
    <t>L00470</t>
  </si>
  <si>
    <t>ORD00471</t>
  </si>
  <si>
    <t>L00471</t>
  </si>
  <si>
    <t>ORD00472</t>
  </si>
  <si>
    <t>L00472</t>
  </si>
  <si>
    <t>ORD00473</t>
  </si>
  <si>
    <t>L00473</t>
  </si>
  <si>
    <t>ORD00474</t>
  </si>
  <si>
    <t>L00474</t>
  </si>
  <si>
    <t>ORD00475</t>
  </si>
  <si>
    <t>L00475</t>
  </si>
  <si>
    <t>ORD00476</t>
  </si>
  <si>
    <t>L00476</t>
  </si>
  <si>
    <t>ORD00477</t>
  </si>
  <si>
    <t>L00477</t>
  </si>
  <si>
    <t>ORD00478</t>
  </si>
  <si>
    <t>L00478</t>
  </si>
  <si>
    <t>ORD00479</t>
  </si>
  <si>
    <t>L00479</t>
  </si>
  <si>
    <t>ORD00480</t>
  </si>
  <si>
    <t>L00480</t>
  </si>
  <si>
    <t>ORD00481</t>
  </si>
  <si>
    <t>L00481</t>
  </si>
  <si>
    <t>ORD00482</t>
  </si>
  <si>
    <t>L00482</t>
  </si>
  <si>
    <t>ORD00483</t>
  </si>
  <si>
    <t>L00483</t>
  </si>
  <si>
    <t>ORD00484</t>
  </si>
  <si>
    <t>L00484</t>
  </si>
  <si>
    <t>ORD00485</t>
  </si>
  <si>
    <t>L00485</t>
  </si>
  <si>
    <t>ORD00486</t>
  </si>
  <si>
    <t>L00486</t>
  </si>
  <si>
    <t>ORD00487</t>
  </si>
  <si>
    <t>L00487</t>
  </si>
  <si>
    <t>ORD00488</t>
  </si>
  <si>
    <t>L00488</t>
  </si>
  <si>
    <t>ORD00489</t>
  </si>
  <si>
    <t>L00489</t>
  </si>
  <si>
    <t>ORD00490</t>
  </si>
  <si>
    <t>L00490</t>
  </si>
  <si>
    <t>ORD00491</t>
  </si>
  <si>
    <t>L00491</t>
  </si>
  <si>
    <t>ORD00492</t>
  </si>
  <si>
    <t>L00492</t>
  </si>
  <si>
    <t>ORD00493</t>
  </si>
  <si>
    <t>L00493</t>
  </si>
  <si>
    <t>ORD00494</t>
  </si>
  <si>
    <t>L00494</t>
  </si>
  <si>
    <t>ORD00495</t>
  </si>
  <si>
    <t>L00495</t>
  </si>
  <si>
    <t>ORD00496</t>
  </si>
  <si>
    <t>L00496</t>
  </si>
  <si>
    <t>ORD00497</t>
  </si>
  <si>
    <t>L00497</t>
  </si>
  <si>
    <t>ORD00498</t>
  </si>
  <si>
    <t>L00498</t>
  </si>
  <si>
    <t>ORD00499</t>
  </si>
  <si>
    <t>L00499</t>
  </si>
  <si>
    <t>ORD00500</t>
  </si>
  <si>
    <t>L00500</t>
  </si>
  <si>
    <t>GrossSales</t>
  </si>
  <si>
    <t>DiscountAmount</t>
  </si>
  <si>
    <t>SalesAfterDiscount</t>
  </si>
  <si>
    <t>CostOfGoodsSold</t>
  </si>
  <si>
    <t>GrossProfit</t>
  </si>
  <si>
    <t>GrossProfitMargin</t>
  </si>
  <si>
    <t>Row Labels</t>
  </si>
  <si>
    <t>Grand Total</t>
  </si>
  <si>
    <t>Sum of SalesAfterDiscount</t>
  </si>
  <si>
    <t>Sum of GrossProfit</t>
  </si>
  <si>
    <t>2025</t>
  </si>
  <si>
    <t>2026</t>
  </si>
  <si>
    <t>Jan</t>
  </si>
  <si>
    <t>Feb</t>
  </si>
  <si>
    <t>Mar</t>
  </si>
  <si>
    <t>Apr</t>
  </si>
  <si>
    <t>May</t>
  </si>
  <si>
    <t>Jun</t>
  </si>
  <si>
    <t>Jul</t>
  </si>
  <si>
    <t>Aug</t>
  </si>
  <si>
    <t>Sep</t>
  </si>
  <si>
    <t>Oct</t>
  </si>
  <si>
    <t>Nov</t>
  </si>
  <si>
    <t>Dec</t>
  </si>
  <si>
    <t>KPI Name</t>
  </si>
  <si>
    <t>Value</t>
  </si>
  <si>
    <t>Total Revenue</t>
  </si>
  <si>
    <t>Gross Profit</t>
  </si>
  <si>
    <t>Gross Margin</t>
  </si>
  <si>
    <t>Total Orders</t>
  </si>
  <si>
    <t>Quantity Sold</t>
  </si>
  <si>
    <t>Average Order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</si>
</sst>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Aptos Narrow"/>
      <family val="2"/>
      <scheme val="minor"/>
    </font>
    <font>
      <sz val="10"/>
      <color theme="1"/>
      <name val="Arial Unicode MS"/>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center"/>
    </xf>
    <xf numFmtId="0" fontId="0" fillId="0" borderId="0" xfId="0" pivotButton="1" applyAlignment="1">
      <alignment horizontal="center"/>
    </xf>
    <xf numFmtId="0" fontId="0" fillId="0" borderId="0" xfId="0" applyAlignment="1">
      <alignment horizontal="left" indent="1"/>
    </xf>
    <xf numFmtId="0" fontId="0" fillId="0" borderId="0" xfId="0" applyNumberFormat="1"/>
    <xf numFmtId="0" fontId="1" fillId="0" borderId="0" xfId="0" applyFont="1"/>
  </cellXfs>
  <cellStyles count="1">
    <cellStyle name="Normal" xfId="0" builtinId="0"/>
  </cellStyles>
  <dxfs count="55">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s>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[WalgamaMart_Dashboard.xlsx]Store_Pivot_Analysis!PivotTable1</c:name>
    <c:fmtId val="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Revenue by Store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Store_Pivot_Analysis!$B$1</c:f>
              <c:strCache>
                <c:ptCount val="1"/>
                <c:pt idx="0">
                  <c:v>Sum of SalesAfterDiscount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Store_Pivot_Analysis!$A$2:$A$7</c:f>
              <c:strCache>
                <c:ptCount val="5"/>
                <c:pt idx="0">
                  <c:v>S01</c:v>
                </c:pt>
                <c:pt idx="1">
                  <c:v>S02</c:v>
                </c:pt>
                <c:pt idx="2">
                  <c:v>S03</c:v>
                </c:pt>
                <c:pt idx="3">
                  <c:v>S04</c:v>
                </c:pt>
                <c:pt idx="4">
                  <c:v>S05</c:v>
                </c:pt>
              </c:strCache>
            </c:strRef>
          </c:cat>
          <c:val>
            <c:numRef>
              <c:f>Store_Pivot_Analysis!$B$2:$B$7</c:f>
              <c:numCache>
                <c:formatCode>General</c:formatCode>
                <c:ptCount val="5"/>
                <c:pt idx="0">
                  <c:v>2926555.0410000002</c:v>
                </c:pt>
                <c:pt idx="1">
                  <c:v>2783045.4580000015</c:v>
                </c:pt>
                <c:pt idx="2">
                  <c:v>3365664.3375000004</c:v>
                </c:pt>
                <c:pt idx="3">
                  <c:v>3002949.9580000015</c:v>
                </c:pt>
                <c:pt idx="4">
                  <c:v>2954977.5575000006</c:v>
                </c:pt>
              </c:numCache>
            </c:numRef>
          </c:val>
          <c:extLst>
            <c:ext xmlns:c16="http://schemas.microsoft.com/office/drawing/2014/chart" uri="{C3380CC4-5D6E-409C-BE32-E72D297353CC}">
              <c16:uniqueId val="{00000000-C398-41C9-A5EA-27025BD4E4BA}"/>
            </c:ext>
          </c:extLst>
        </c:ser>
        <c:ser>
          <c:idx val="1"/>
          <c:order val="1"/>
          <c:tx>
            <c:strRef>
              <c:f>Store_Pivot_Analysis!$C$1</c:f>
              <c:strCache>
                <c:ptCount val="1"/>
                <c:pt idx="0">
                  <c:v>Sum of GrossProfit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Store_Pivot_Analysis!$A$2:$A$7</c:f>
              <c:strCache>
                <c:ptCount val="5"/>
                <c:pt idx="0">
                  <c:v>S01</c:v>
                </c:pt>
                <c:pt idx="1">
                  <c:v>S02</c:v>
                </c:pt>
                <c:pt idx="2">
                  <c:v>S03</c:v>
                </c:pt>
                <c:pt idx="3">
                  <c:v>S04</c:v>
                </c:pt>
                <c:pt idx="4">
                  <c:v>S05</c:v>
                </c:pt>
              </c:strCache>
            </c:strRef>
          </c:cat>
          <c:val>
            <c:numRef>
              <c:f>Store_Pivot_Analysis!$C$2:$C$7</c:f>
              <c:numCache>
                <c:formatCode>General</c:formatCode>
                <c:ptCount val="5"/>
                <c:pt idx="0">
                  <c:v>453355.04100000008</c:v>
                </c:pt>
                <c:pt idx="1">
                  <c:v>533945.45799999963</c:v>
                </c:pt>
                <c:pt idx="2">
                  <c:v>608914.33749999991</c:v>
                </c:pt>
                <c:pt idx="3">
                  <c:v>570849.95799999975</c:v>
                </c:pt>
                <c:pt idx="4">
                  <c:v>533627.5575</c:v>
                </c:pt>
              </c:numCache>
            </c:numRef>
          </c:val>
          <c:extLst>
            <c:ext xmlns:c16="http://schemas.microsoft.com/office/drawing/2014/chart" uri="{C3380CC4-5D6E-409C-BE32-E72D297353CC}">
              <c16:uniqueId val="{00000001-C398-41C9-A5EA-27025BD4E4BA}"/>
            </c:ext>
          </c:extLst>
        </c:ser>
        <c:dLbls>
          <c:showLegendKey val="0"/>
          <c:showVal val="0"/>
          <c:showCatName val="0"/>
          <c:showSerName val="0"/>
          <c:showPercent val="0"/>
          <c:showBubbleSize val="0"/>
        </c:dLbls>
        <c:gapWidth val="32"/>
        <c:overlap val="-8"/>
        <c:axId val="1573682208"/>
        <c:axId val="1312391728"/>
      </c:barChart>
      <c:catAx>
        <c:axId val="1573682208"/>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12391728"/>
        <c:crosses val="autoZero"/>
        <c:auto val="1"/>
        <c:lblAlgn val="ctr"/>
        <c:lblOffset val="100"/>
        <c:noMultiLvlLbl val="0"/>
      </c:catAx>
      <c:valAx>
        <c:axId val="1312391728"/>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73682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[WalgamaMart_Dashboard.xlsx]Monthly_Pivot_Analysis!PivotTable2</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Monthly_Pivot_Analysis!$F$3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multiLvlStrRef>
              <c:f>Monthly_Pivot_Analysis!$E$4:$E$24</c:f>
              <c:multiLvlStrCache>
                <c:ptCount val="1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lvl>
                <c:lvl>
                  <c:pt idx="0">
                    <c:v>2025</c:v>
                  </c:pt>
                  <c:pt idx="12">
                    <c:v>2026</c:v>
                  </c:pt>
                </c:lvl>
              </c:multiLvlStrCache>
            </c:multiLvlStrRef>
          </c:cat>
          <c:val>
            <c:numRef>
              <c:f>Monthly_Pivot_Analysis!$F$4:$F$24</c:f>
              <c:numCache>
                <c:formatCode>General</c:formatCode>
                <c:ptCount val="18"/>
                <c:pt idx="0">
                  <c:v>487328.00849999994</c:v>
                </c:pt>
                <c:pt idx="1">
                  <c:v>811621.02749999985</c:v>
                </c:pt>
                <c:pt idx="2">
                  <c:v>1144902.0984999998</c:v>
                </c:pt>
                <c:pt idx="3">
                  <c:v>604318.01199999976</c:v>
                </c:pt>
                <c:pt idx="4">
                  <c:v>1077500.9685000004</c:v>
                </c:pt>
                <c:pt idx="5">
                  <c:v>941984.16449999972</c:v>
                </c:pt>
                <c:pt idx="6">
                  <c:v>916527.25200000009</c:v>
                </c:pt>
                <c:pt idx="7">
                  <c:v>952387.99549999984</c:v>
                </c:pt>
                <c:pt idx="8">
                  <c:v>789424.58600000001</c:v>
                </c:pt>
                <c:pt idx="9">
                  <c:v>1110217.6120000002</c:v>
                </c:pt>
                <c:pt idx="10">
                  <c:v>913591.64949999994</c:v>
                </c:pt>
                <c:pt idx="11">
                  <c:v>723712.23899999983</c:v>
                </c:pt>
                <c:pt idx="12">
                  <c:v>927888.87199999986</c:v>
                </c:pt>
                <c:pt idx="13">
                  <c:v>587772.223</c:v>
                </c:pt>
                <c:pt idx="14">
                  <c:v>894560.23499999987</c:v>
                </c:pt>
                <c:pt idx="15">
                  <c:v>862036.74</c:v>
                </c:pt>
                <c:pt idx="16">
                  <c:v>762797.05799999996</c:v>
                </c:pt>
                <c:pt idx="17">
                  <c:v>524621.61049999995</c:v>
                </c:pt>
              </c:numCache>
            </c:numRef>
          </c:val>
          <c:smooth val="0"/>
          <c:extLst>
            <c:ext xmlns:c16="http://schemas.microsoft.com/office/drawing/2014/chart" uri="{C3380CC4-5D6E-409C-BE32-E72D297353CC}">
              <c16:uniqueId val="{00000000-4F61-4BCB-B25A-F497F8E79222}"/>
            </c:ext>
          </c:extLst>
        </c:ser>
        <c:dLbls>
          <c:showLegendKey val="0"/>
          <c:showVal val="0"/>
          <c:showCatName val="0"/>
          <c:showSerName val="0"/>
          <c:showPercent val="0"/>
          <c:showBubbleSize val="0"/>
        </c:dLbls>
        <c:marker val="1"/>
        <c:smooth val="0"/>
        <c:axId val="576615888"/>
        <c:axId val="426499696"/>
      </c:lineChart>
      <c:catAx>
        <c:axId val="5766158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426499696"/>
        <c:crosses val="autoZero"/>
        <c:auto val="1"/>
        <c:lblAlgn val="ctr"/>
        <c:lblOffset val="100"/>
        <c:noMultiLvlLbl val="0"/>
      </c:catAx>
      <c:valAx>
        <c:axId val="4264996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576615888"/>
        <c:crosses val="autoZero"/>
        <c:crossBetween val="between"/>
      </c:valAx>
      <c:spPr>
        <a:solidFill>
          <a:schemeClr val="bg1"/>
        </a:solid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[WalgamaMart_Dashboard.xlsx]SalesbyChannel_Pivot_Analysis!PivotTable1</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by Channel</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solidFill>
              <a:schemeClr val="bg1"/>
            </a:solid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solidFill>
              <a:schemeClr val="bg1"/>
            </a:solidFill>
          </a:ln>
          <a:effectLst>
            <a:outerShdw blurRad="254000" sx="102000" sy="102000" algn="ctr" rotWithShape="0">
              <a:prstClr val="black">
                <a:alpha val="20000"/>
              </a:prstClr>
            </a:outerShdw>
          </a:effectLst>
        </c:spPr>
        <c:dLbl>
          <c:idx val="0"/>
          <c:layout>
            <c:manualLayout>
              <c:x val="-6.5369260449632096E-3"/>
              <c:y val="1.6936261537449405E-2"/>
            </c:manualLayout>
          </c:layout>
          <c:tx>
            <c:rich>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fld id="{C05BF4CB-A10D-4A71-A614-5DA291C70BD4}" type="PERCENTAGE">
                  <a:rPr lang="en-US" sz="1800"/>
                  <a:pPr>
                    <a:defRPr/>
                  </a:pPr>
                  <a:t>[PERCENTAGE]</a:t>
                </a:fld>
                <a:endParaRPr lang="en-US"/>
              </a:p>
            </c:rich>
          </c:tx>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0046614383337418"/>
                  <c:h val="0.14345288085807267"/>
                </c:manualLayout>
              </c15:layout>
              <c15:dlblFieldTable/>
              <c15:showDataLabelsRange val="0"/>
            </c:ext>
          </c:extLst>
        </c:dLbl>
      </c:pivotFmt>
      <c:pivotFmt>
        <c:idx val="3"/>
        <c:spPr>
          <a:solidFill>
            <a:schemeClr val="accent2"/>
          </a:solidFill>
          <a:ln>
            <a:solidFill>
              <a:schemeClr val="bg1"/>
            </a:solidFill>
          </a:ln>
          <a:effectLst>
            <a:outerShdw blurRad="254000" sx="102000" sy="102000" algn="ctr" rotWithShape="0">
              <a:prstClr val="black">
                <a:alpha val="20000"/>
              </a:prstClr>
            </a:outerShdw>
          </a:effectLst>
        </c:spPr>
        <c:dLbl>
          <c:idx val="0"/>
          <c:layout>
            <c:manualLayout>
              <c:x val="5.2297055511059589E-3"/>
              <c:y val="-1.4656035390698204E-2"/>
            </c:manualLayout>
          </c:layout>
          <c:tx>
            <c:rich>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fld id="{A39EDD11-BBEC-45C3-A81F-44DE2DEC07E4}" type="PERCENTAGE">
                  <a:rPr lang="en-US" sz="1800"/>
                  <a:pPr>
                    <a:defRPr/>
                  </a:pPr>
                  <a:t>[PERCENTAGE]</a:t>
                </a:fld>
                <a:endParaRPr lang="en-US"/>
              </a:p>
            </c:rich>
          </c:tx>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1138984572368624"/>
                  <c:h val="0.11877238515596338"/>
                </c:manualLayout>
              </c15:layout>
              <c15:dlblFieldTable/>
              <c15:showDataLabelsRange val="0"/>
            </c:ext>
          </c:extLst>
        </c:dLbl>
      </c:pivotFmt>
    </c:pivotFmts>
    <c:plotArea>
      <c:layout>
        <c:manualLayout>
          <c:layoutTarget val="inner"/>
          <c:xMode val="edge"/>
          <c:yMode val="edge"/>
          <c:x val="0.13511911992703118"/>
          <c:y val="0.16592593459858804"/>
          <c:w val="0.55410521591065853"/>
          <c:h val="0.79752854246297022"/>
        </c:manualLayout>
      </c:layout>
      <c:doughnutChart>
        <c:varyColors val="1"/>
        <c:ser>
          <c:idx val="0"/>
          <c:order val="0"/>
          <c:tx>
            <c:strRef>
              <c:f>SalesbyChannel_Pivot_Analysis!$C$3</c:f>
              <c:strCache>
                <c:ptCount val="1"/>
                <c:pt idx="0">
                  <c:v>Total</c:v>
                </c:pt>
              </c:strCache>
            </c:strRef>
          </c:tx>
          <c:spPr>
            <a:ln>
              <a:solidFill>
                <a:schemeClr val="bg1"/>
              </a:solidFill>
            </a:ln>
          </c:spPr>
          <c:dPt>
            <c:idx val="0"/>
            <c:bubble3D val="0"/>
            <c:spPr>
              <a:solidFill>
                <a:schemeClr val="accent1"/>
              </a:solidFill>
              <a:ln>
                <a:solidFill>
                  <a:schemeClr val="bg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EC07-458A-9738-E6F4E8FA247D}"/>
              </c:ext>
            </c:extLst>
          </c:dPt>
          <c:dPt>
            <c:idx val="1"/>
            <c:bubble3D val="0"/>
            <c:spPr>
              <a:solidFill>
                <a:schemeClr val="accent2"/>
              </a:solidFill>
              <a:ln>
                <a:solidFill>
                  <a:schemeClr val="bg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C07-458A-9738-E6F4E8FA247D}"/>
              </c:ext>
            </c:extLst>
          </c:dPt>
          <c:dLbls>
            <c:dLbl>
              <c:idx val="0"/>
              <c:layout>
                <c:manualLayout>
                  <c:x val="-6.5369260449632096E-3"/>
                  <c:y val="1.6936261537449405E-2"/>
                </c:manualLayout>
              </c:layout>
              <c:tx>
                <c:rich>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fld id="{C05BF4CB-A10D-4A71-A614-5DA291C70BD4}" type="PERCENTAGE">
                      <a:rPr lang="en-US" sz="1800"/>
                      <a:pPr>
                        <a:defRPr/>
                      </a:pPr>
                      <a:t>[PERCENTAGE]</a:t>
                    </a:fld>
                    <a:endParaRPr lang="en-US"/>
                  </a:p>
                </c:rich>
              </c:tx>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0046614383337418"/>
                      <c:h val="0.14345288085807267"/>
                    </c:manualLayout>
                  </c15:layout>
                  <c15:dlblFieldTable/>
                  <c15:showDataLabelsRange val="0"/>
                </c:ext>
                <c:ext xmlns:c16="http://schemas.microsoft.com/office/drawing/2014/chart" uri="{C3380CC4-5D6E-409C-BE32-E72D297353CC}">
                  <c16:uniqueId val="{00000001-EC07-458A-9738-E6F4E8FA247D}"/>
                </c:ext>
              </c:extLst>
            </c:dLbl>
            <c:dLbl>
              <c:idx val="1"/>
              <c:layout>
                <c:manualLayout>
                  <c:x val="5.2297055511059589E-3"/>
                  <c:y val="-1.4656035390698204E-2"/>
                </c:manualLayout>
              </c:layout>
              <c:tx>
                <c:rich>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fld id="{A39EDD11-BBEC-45C3-A81F-44DE2DEC07E4}" type="PERCENTAGE">
                      <a:rPr lang="en-US" sz="1800"/>
                      <a:pPr>
                        <a:defRPr/>
                      </a:pPr>
                      <a:t>[PERCENTAGE]</a:t>
                    </a:fld>
                    <a:endParaRPr lang="en-US"/>
                  </a:p>
                </c:rich>
              </c:tx>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1138984572368624"/>
                      <c:h val="0.11877238515596338"/>
                    </c:manualLayout>
                  </c15:layout>
                  <c15:dlblFieldTable/>
                  <c15:showDataLabelsRange val="0"/>
                </c:ext>
                <c:ext xmlns:c16="http://schemas.microsoft.com/office/drawing/2014/chart" uri="{C3380CC4-5D6E-409C-BE32-E72D297353CC}">
                  <c16:uniqueId val="{00000003-EC07-458A-9738-E6F4E8FA247D}"/>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SalesbyChannel_Pivot_Analysis!$B$4:$B$6</c:f>
              <c:strCache>
                <c:ptCount val="2"/>
                <c:pt idx="0">
                  <c:v>In-Store</c:v>
                </c:pt>
                <c:pt idx="1">
                  <c:v>Online</c:v>
                </c:pt>
              </c:strCache>
            </c:strRef>
          </c:cat>
          <c:val>
            <c:numRef>
              <c:f>SalesbyChannel_Pivot_Analysis!$C$4:$C$6</c:f>
              <c:numCache>
                <c:formatCode>General</c:formatCode>
                <c:ptCount val="2"/>
                <c:pt idx="0">
                  <c:v>7059129.1479999991</c:v>
                </c:pt>
                <c:pt idx="1">
                  <c:v>7974063.203999998</c:v>
                </c:pt>
              </c:numCache>
            </c:numRef>
          </c:val>
          <c:extLst>
            <c:ext xmlns:c16="http://schemas.microsoft.com/office/drawing/2014/chart" uri="{C3380CC4-5D6E-409C-BE32-E72D297353CC}">
              <c16:uniqueId val="{00000004-EC07-458A-9738-E6F4E8FA247D}"/>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74956257836837292"/>
          <c:y val="0.37773581679041202"/>
          <c:w val="0.23381939801081608"/>
          <c:h val="0.27460964203268773"/>
        </c:manualLayout>
      </c:layout>
      <c:overlay val="0"/>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[WalgamaMart_Dashboard.xlsx]Pivot_Analysis!PivotTable2</c:name>
    <c:fmtId val="4"/>
  </c:pivotSource>
  <c:chart>
    <c:title>
      <c:tx>
        <c:rich>
          <a:bodyPr rot="0" spcFirstLastPara="1" vertOverflow="ellipsis" vert="horz" wrap="square" anchor="ctr" anchorCtr="1"/>
          <a:lstStyle/>
          <a:p>
            <a:pPr>
              <a:defRPr sz="1600" b="1" i="0" u="none" strike="noStrike" kern="1200" spc="100" baseline="0">
                <a:solidFill>
                  <a:sysClr val="windowText" lastClr="000000"/>
                </a:solidFill>
                <a:effectLst>
                  <a:outerShdw blurRad="50800" dist="38100" dir="5400000" algn="t" rotWithShape="0">
                    <a:prstClr val="black">
                      <a:alpha val="40000"/>
                    </a:prstClr>
                  </a:outerShdw>
                </a:effectLst>
                <a:latin typeface="+mn-lt"/>
                <a:ea typeface="+mn-ea"/>
                <a:cs typeface="+mn-cs"/>
              </a:defRPr>
            </a:pPr>
            <a:r>
              <a:rPr lang="en-US">
                <a:solidFill>
                  <a:sysClr val="windowText" lastClr="000000"/>
                </a:solidFill>
              </a:rPr>
              <a:t>Top 10 Products by Gross Profit (LKR)</a:t>
            </a:r>
          </a:p>
        </c:rich>
      </c:tx>
      <c:overlay val="0"/>
      <c:spPr>
        <a:noFill/>
        <a:ln>
          <a:noFill/>
        </a:ln>
        <a:effectLst/>
      </c:spPr>
      <c:txPr>
        <a:bodyPr rot="0" spcFirstLastPara="1" vertOverflow="ellipsis" vert="horz" wrap="square" anchor="ctr" anchorCtr="1"/>
        <a:lstStyle/>
        <a:p>
          <a:pPr>
            <a:defRPr sz="1600" b="1" i="0" u="none" strike="noStrike" kern="1200" spc="100" baseline="0">
              <a:solidFill>
                <a:sysClr val="windowText" lastClr="000000"/>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41244598999219"/>
          <c:y val="0.17138292955925449"/>
          <c:w val="0.81287300317080247"/>
          <c:h val="0.74473618520388463"/>
        </c:manualLayout>
      </c:layout>
      <c:barChart>
        <c:barDir val="bar"/>
        <c:grouping val="clustered"/>
        <c:varyColors val="0"/>
        <c:ser>
          <c:idx val="0"/>
          <c:order val="0"/>
          <c:tx>
            <c:strRef>
              <c:f>Pivot_Analysis!$C$1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Pivot_Analysis!$B$2:$B$12</c:f>
              <c:strCache>
                <c:ptCount val="10"/>
                <c:pt idx="0">
                  <c:v>P027</c:v>
                </c:pt>
                <c:pt idx="1">
                  <c:v>P010</c:v>
                </c:pt>
                <c:pt idx="2">
                  <c:v>P022</c:v>
                </c:pt>
                <c:pt idx="3">
                  <c:v>P021</c:v>
                </c:pt>
                <c:pt idx="4">
                  <c:v>P009</c:v>
                </c:pt>
                <c:pt idx="5">
                  <c:v>P014</c:v>
                </c:pt>
                <c:pt idx="6">
                  <c:v>P007</c:v>
                </c:pt>
                <c:pt idx="7">
                  <c:v>P030</c:v>
                </c:pt>
                <c:pt idx="8">
                  <c:v>P008</c:v>
                </c:pt>
                <c:pt idx="9">
                  <c:v>P024</c:v>
                </c:pt>
              </c:strCache>
            </c:strRef>
          </c:cat>
          <c:val>
            <c:numRef>
              <c:f>Pivot_Analysis!$C$2:$C$12</c:f>
              <c:numCache>
                <c:formatCode>General</c:formatCode>
                <c:ptCount val="10"/>
                <c:pt idx="0">
                  <c:v>288122.41999999993</c:v>
                </c:pt>
                <c:pt idx="1">
                  <c:v>188052.87949999992</c:v>
                </c:pt>
                <c:pt idx="2">
                  <c:v>180583.40599999999</c:v>
                </c:pt>
                <c:pt idx="3">
                  <c:v>175656.50200000007</c:v>
                </c:pt>
                <c:pt idx="4">
                  <c:v>154034.90800000005</c:v>
                </c:pt>
                <c:pt idx="5">
                  <c:v>144884.92250000004</c:v>
                </c:pt>
                <c:pt idx="6">
                  <c:v>140955.72699999996</c:v>
                </c:pt>
                <c:pt idx="7">
                  <c:v>131299.48799999998</c:v>
                </c:pt>
                <c:pt idx="8">
                  <c:v>111365.31499999993</c:v>
                </c:pt>
                <c:pt idx="9">
                  <c:v>102620.18999999997</c:v>
                </c:pt>
              </c:numCache>
            </c:numRef>
          </c:val>
          <c:extLst>
            <c:ext xmlns:c16="http://schemas.microsoft.com/office/drawing/2014/chart" uri="{C3380CC4-5D6E-409C-BE32-E72D297353CC}">
              <c16:uniqueId val="{00000000-1652-4D03-84C0-FCCF81B4743C}"/>
            </c:ext>
          </c:extLst>
        </c:ser>
        <c:dLbls>
          <c:showLegendKey val="0"/>
          <c:showVal val="0"/>
          <c:showCatName val="0"/>
          <c:showSerName val="0"/>
          <c:showPercent val="0"/>
          <c:showBubbleSize val="0"/>
        </c:dLbls>
        <c:gapWidth val="115"/>
        <c:overlap val="-20"/>
        <c:axId val="599908912"/>
        <c:axId val="426510736"/>
      </c:barChart>
      <c:catAx>
        <c:axId val="59990891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426510736"/>
        <c:crosses val="autoZero"/>
        <c:auto val="1"/>
        <c:lblAlgn val="ctr"/>
        <c:lblOffset val="100"/>
        <c:noMultiLvlLbl val="0"/>
      </c:catAx>
      <c:valAx>
        <c:axId val="426510736"/>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599908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383315</xdr:colOff>
      <xdr:row>23</xdr:row>
      <xdr:rowOff>144891</xdr:rowOff>
    </xdr:from>
    <xdr:to>
      <xdr:col>8</xdr:col>
      <xdr:colOff>352835</xdr:colOff>
      <xdr:row>39</xdr:row>
      <xdr:rowOff>129969</xdr:rowOff>
    </xdr:to>
    <xdr:graphicFrame macro="">
      <xdr:nvGraphicFramePr>
        <xdr:cNvPr id="2" name="Chart 1">
          <a:extLst>
            <a:ext uri="{FF2B5EF4-FFF2-40B4-BE49-F238E27FC236}">
              <a16:creationId xmlns:a16="http://schemas.microsoft.com/office/drawing/2014/main" id="{D68CE55F-BF3F-4C4D-A36E-5FECE0F073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294492</xdr:colOff>
      <xdr:row>23</xdr:row>
      <xdr:rowOff>121322</xdr:rowOff>
    </xdr:from>
    <xdr:to>
      <xdr:col>18</xdr:col>
      <xdr:colOff>71793</xdr:colOff>
      <xdr:row>39</xdr:row>
      <xdr:rowOff>142911</xdr:rowOff>
    </xdr:to>
    <xdr:graphicFrame macro="">
      <xdr:nvGraphicFramePr>
        <xdr:cNvPr id="3" name="Chart 1">
          <a:extLst>
            <a:ext uri="{FF2B5EF4-FFF2-40B4-BE49-F238E27FC236}">
              <a16:creationId xmlns:a16="http://schemas.microsoft.com/office/drawing/2014/main" id="{9D5EE38D-47D4-AEE5-218C-5501A71750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400124</xdr:colOff>
      <xdr:row>41</xdr:row>
      <xdr:rowOff>53854</xdr:rowOff>
    </xdr:from>
    <xdr:to>
      <xdr:col>8</xdr:col>
      <xdr:colOff>366796</xdr:colOff>
      <xdr:row>60</xdr:row>
      <xdr:rowOff>62228</xdr:rowOff>
    </xdr:to>
    <xdr:graphicFrame macro="">
      <xdr:nvGraphicFramePr>
        <xdr:cNvPr id="4" name="Chart 1">
          <a:extLst>
            <a:ext uri="{FF2B5EF4-FFF2-40B4-BE49-F238E27FC236}">
              <a16:creationId xmlns:a16="http://schemas.microsoft.com/office/drawing/2014/main" id="{82C2DB8B-C12A-5DBF-33BE-7E1604DA60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212763</xdr:colOff>
      <xdr:row>41</xdr:row>
      <xdr:rowOff>141268</xdr:rowOff>
    </xdr:from>
    <xdr:to>
      <xdr:col>18</xdr:col>
      <xdr:colOff>197355</xdr:colOff>
      <xdr:row>60</xdr:row>
      <xdr:rowOff>10179</xdr:rowOff>
    </xdr:to>
    <xdr:graphicFrame macro="">
      <xdr:nvGraphicFramePr>
        <xdr:cNvPr id="5" name="Chart 1">
          <a:extLst>
            <a:ext uri="{FF2B5EF4-FFF2-40B4-BE49-F238E27FC236}">
              <a16:creationId xmlns:a16="http://schemas.microsoft.com/office/drawing/2014/main" id="{EBFA726D-ADEC-EF57-7A99-197F4FE2F6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197812</xdr:colOff>
      <xdr:row>9</xdr:row>
      <xdr:rowOff>36224</xdr:rowOff>
    </xdr:from>
    <xdr:to>
      <xdr:col>6</xdr:col>
      <xdr:colOff>38745</xdr:colOff>
      <xdr:row>15</xdr:row>
      <xdr:rowOff>77493</xdr:rowOff>
    </xdr:to>
    <xdr:sp macro="" textlink="">
      <xdr:nvSpPr>
        <xdr:cNvPr id="6" name="Rectangle: Rounded Corners 5">
          <a:extLst>
            <a:ext uri="{FF2B5EF4-FFF2-40B4-BE49-F238E27FC236}">
              <a16:creationId xmlns:a16="http://schemas.microsoft.com/office/drawing/2014/main" id="{162E2764-855D-7E67-0A68-33E48A8F2D26}"/>
            </a:ext>
          </a:extLst>
        </xdr:cNvPr>
        <xdr:cNvSpPr/>
      </xdr:nvSpPr>
      <xdr:spPr>
        <a:xfrm>
          <a:off x="197812" y="1663546"/>
          <a:ext cx="3483035" cy="11261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472964</xdr:colOff>
      <xdr:row>12</xdr:row>
      <xdr:rowOff>105105</xdr:rowOff>
    </xdr:from>
    <xdr:to>
      <xdr:col>4</xdr:col>
      <xdr:colOff>395844</xdr:colOff>
      <xdr:row>15</xdr:row>
      <xdr:rowOff>29688</xdr:rowOff>
    </xdr:to>
    <xdr:sp macro="" textlink="KPI_Summary!B2">
      <xdr:nvSpPr>
        <xdr:cNvPr id="8" name="TextBox 7">
          <a:extLst>
            <a:ext uri="{FF2B5EF4-FFF2-40B4-BE49-F238E27FC236}">
              <a16:creationId xmlns:a16="http://schemas.microsoft.com/office/drawing/2014/main" id="{1682B311-FB19-CF2A-AF1D-9B9C1EC54874}"/>
            </a:ext>
          </a:extLst>
        </xdr:cNvPr>
        <xdr:cNvSpPr txBox="1"/>
      </xdr:nvSpPr>
      <xdr:spPr>
        <a:xfrm>
          <a:off x="1086522" y="2242663"/>
          <a:ext cx="1763556" cy="4589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DEB3389-F6A4-43F1-A79C-E08B972DEDF3}" type="TxLink">
            <a:rPr lang="en-US" sz="2400" b="1" i="0" u="none" strike="noStrike">
              <a:solidFill>
                <a:schemeClr val="bg1"/>
              </a:solidFill>
              <a:latin typeface="Aptos Narrow"/>
            </a:rPr>
            <a:t>15033192.35</a:t>
          </a:fld>
          <a:endParaRPr lang="en-US" sz="2400" b="1">
            <a:solidFill>
              <a:schemeClr val="bg1"/>
            </a:solidFill>
          </a:endParaRPr>
        </a:p>
      </xdr:txBody>
    </xdr:sp>
    <xdr:clientData/>
  </xdr:twoCellAnchor>
  <xdr:twoCellAnchor>
    <xdr:from>
      <xdr:col>1</xdr:col>
      <xdr:colOff>230717</xdr:colOff>
      <xdr:row>9</xdr:row>
      <xdr:rowOff>111191</xdr:rowOff>
    </xdr:from>
    <xdr:to>
      <xdr:col>5</xdr:col>
      <xdr:colOff>102220</xdr:colOff>
      <xdr:row>12</xdr:row>
      <xdr:rowOff>156907</xdr:rowOff>
    </xdr:to>
    <xdr:sp macro="" textlink="">
      <xdr:nvSpPr>
        <xdr:cNvPr id="9" name="TextBox 8">
          <a:extLst>
            <a:ext uri="{FF2B5EF4-FFF2-40B4-BE49-F238E27FC236}">
              <a16:creationId xmlns:a16="http://schemas.microsoft.com/office/drawing/2014/main" id="{5C952051-D7C2-1EE5-5186-79063D280332}"/>
            </a:ext>
          </a:extLst>
        </xdr:cNvPr>
        <xdr:cNvSpPr txBox="1"/>
      </xdr:nvSpPr>
      <xdr:spPr>
        <a:xfrm>
          <a:off x="2070668" y="297045"/>
          <a:ext cx="2324772" cy="6032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solidFill>
            </a:rPr>
            <a:t>Total Revenue</a:t>
          </a:r>
        </a:p>
      </xdr:txBody>
    </xdr:sp>
    <xdr:clientData/>
  </xdr:twoCellAnchor>
  <xdr:twoCellAnchor>
    <xdr:from>
      <xdr:col>7</xdr:col>
      <xdr:colOff>29914</xdr:colOff>
      <xdr:row>9</xdr:row>
      <xdr:rowOff>10392</xdr:rowOff>
    </xdr:from>
    <xdr:to>
      <xdr:col>13</xdr:col>
      <xdr:colOff>213845</xdr:colOff>
      <xdr:row>15</xdr:row>
      <xdr:rowOff>164590</xdr:rowOff>
    </xdr:to>
    <xdr:sp macro="" textlink="">
      <xdr:nvSpPr>
        <xdr:cNvPr id="33" name="Rectangle: Rounded Corners 32">
          <a:extLst>
            <a:ext uri="{FF2B5EF4-FFF2-40B4-BE49-F238E27FC236}">
              <a16:creationId xmlns:a16="http://schemas.microsoft.com/office/drawing/2014/main" id="{0D89718B-F0AB-4E90-8C5F-F4E5BD21AA43}"/>
            </a:ext>
          </a:extLst>
        </xdr:cNvPr>
        <xdr:cNvSpPr/>
      </xdr:nvSpPr>
      <xdr:spPr>
        <a:xfrm>
          <a:off x="5549768" y="196246"/>
          <a:ext cx="3863833" cy="12693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472964</xdr:colOff>
      <xdr:row>12</xdr:row>
      <xdr:rowOff>105105</xdr:rowOff>
    </xdr:from>
    <xdr:to>
      <xdr:col>11</xdr:col>
      <xdr:colOff>508000</xdr:colOff>
      <xdr:row>15</xdr:row>
      <xdr:rowOff>2</xdr:rowOff>
    </xdr:to>
    <xdr:sp macro="" textlink="KPI_Summary!B3">
      <xdr:nvSpPr>
        <xdr:cNvPr id="34" name="TextBox 33">
          <a:extLst>
            <a:ext uri="{FF2B5EF4-FFF2-40B4-BE49-F238E27FC236}">
              <a16:creationId xmlns:a16="http://schemas.microsoft.com/office/drawing/2014/main" id="{95B4B7FA-A329-4AB2-B752-CDD8F6CE370C}"/>
            </a:ext>
          </a:extLst>
        </xdr:cNvPr>
        <xdr:cNvSpPr txBox="1"/>
      </xdr:nvSpPr>
      <xdr:spPr>
        <a:xfrm>
          <a:off x="2301764" y="822281"/>
          <a:ext cx="1863836" cy="4327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F14A730-3524-4642-9417-DFC44068D140}" type="TxLink">
            <a:rPr lang="en-US" sz="2400" b="1" i="0" u="none" strike="noStrike">
              <a:solidFill>
                <a:schemeClr val="bg1"/>
              </a:solidFill>
              <a:latin typeface="Aptos Narrow"/>
            </a:rPr>
            <a:t>2700692.352</a:t>
          </a:fld>
          <a:endParaRPr lang="en-US" sz="2400" b="1">
            <a:solidFill>
              <a:schemeClr val="bg1"/>
            </a:solidFill>
          </a:endParaRPr>
        </a:p>
      </xdr:txBody>
    </xdr:sp>
    <xdr:clientData/>
  </xdr:twoCellAnchor>
  <xdr:twoCellAnchor>
    <xdr:from>
      <xdr:col>8</xdr:col>
      <xdr:colOff>397985</xdr:colOff>
      <xdr:row>9</xdr:row>
      <xdr:rowOff>101898</xdr:rowOff>
    </xdr:from>
    <xdr:to>
      <xdr:col>11</xdr:col>
      <xdr:colOff>483220</xdr:colOff>
      <xdr:row>12</xdr:row>
      <xdr:rowOff>147614</xdr:rowOff>
    </xdr:to>
    <xdr:sp macro="" textlink="">
      <xdr:nvSpPr>
        <xdr:cNvPr id="35" name="TextBox 34">
          <a:extLst>
            <a:ext uri="{FF2B5EF4-FFF2-40B4-BE49-F238E27FC236}">
              <a16:creationId xmlns:a16="http://schemas.microsoft.com/office/drawing/2014/main" id="{26B0A472-A42B-4FD7-B85C-1B6164CD584D}"/>
            </a:ext>
          </a:extLst>
        </xdr:cNvPr>
        <xdr:cNvSpPr txBox="1"/>
      </xdr:nvSpPr>
      <xdr:spPr>
        <a:xfrm>
          <a:off x="6531156" y="287752"/>
          <a:ext cx="1925186" cy="6032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chemeClr val="bg1"/>
              </a:solidFill>
            </a:rPr>
            <a:t>Gross Profit    </a:t>
          </a:r>
        </a:p>
      </xdr:txBody>
    </xdr:sp>
    <xdr:clientData/>
  </xdr:twoCellAnchor>
  <xdr:twoCellAnchor>
    <xdr:from>
      <xdr:col>14</xdr:col>
      <xdr:colOff>29914</xdr:colOff>
      <xdr:row>9</xdr:row>
      <xdr:rowOff>10392</xdr:rowOff>
    </xdr:from>
    <xdr:to>
      <xdr:col>20</xdr:col>
      <xdr:colOff>213845</xdr:colOff>
      <xdr:row>15</xdr:row>
      <xdr:rowOff>164590</xdr:rowOff>
    </xdr:to>
    <xdr:sp macro="" textlink="">
      <xdr:nvSpPr>
        <xdr:cNvPr id="41" name="Rectangle: Rounded Corners 40">
          <a:extLst>
            <a:ext uri="{FF2B5EF4-FFF2-40B4-BE49-F238E27FC236}">
              <a16:creationId xmlns:a16="http://schemas.microsoft.com/office/drawing/2014/main" id="{23D08515-00A4-4C2C-B058-C312F0002203}"/>
            </a:ext>
          </a:extLst>
        </xdr:cNvPr>
        <xdr:cNvSpPr/>
      </xdr:nvSpPr>
      <xdr:spPr>
        <a:xfrm>
          <a:off x="9842987" y="196246"/>
          <a:ext cx="3863834" cy="12693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472964</xdr:colOff>
      <xdr:row>12</xdr:row>
      <xdr:rowOff>105105</xdr:rowOff>
    </xdr:from>
    <xdr:to>
      <xdr:col>18</xdr:col>
      <xdr:colOff>508000</xdr:colOff>
      <xdr:row>15</xdr:row>
      <xdr:rowOff>2</xdr:rowOff>
    </xdr:to>
    <xdr:sp macro="" textlink="KPI_Summary!B4">
      <xdr:nvSpPr>
        <xdr:cNvPr id="42" name="TextBox 41">
          <a:extLst>
            <a:ext uri="{FF2B5EF4-FFF2-40B4-BE49-F238E27FC236}">
              <a16:creationId xmlns:a16="http://schemas.microsoft.com/office/drawing/2014/main" id="{3C25BCB4-D9B0-4941-A532-DD8A29818EE9}"/>
            </a:ext>
          </a:extLst>
        </xdr:cNvPr>
        <xdr:cNvSpPr txBox="1"/>
      </xdr:nvSpPr>
      <xdr:spPr>
        <a:xfrm>
          <a:off x="2301764" y="822281"/>
          <a:ext cx="1863836" cy="4327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4977E80-9E99-49B5-8A5C-1B444E28AAA9}" type="TxLink">
            <a:rPr lang="en-US" sz="2400" b="1" i="0" u="none" strike="noStrike">
              <a:solidFill>
                <a:schemeClr val="bg1"/>
              </a:solidFill>
              <a:latin typeface="Aptos Narrow"/>
            </a:rPr>
            <a:t>0.179648626</a:t>
          </a:fld>
          <a:endParaRPr lang="en-US" sz="2400" b="1">
            <a:solidFill>
              <a:schemeClr val="bg1"/>
            </a:solidFill>
          </a:endParaRPr>
        </a:p>
      </xdr:txBody>
    </xdr:sp>
    <xdr:clientData/>
  </xdr:twoCellAnchor>
  <xdr:twoCellAnchor>
    <xdr:from>
      <xdr:col>14</xdr:col>
      <xdr:colOff>583838</xdr:colOff>
      <xdr:row>9</xdr:row>
      <xdr:rowOff>120484</xdr:rowOff>
    </xdr:from>
    <xdr:to>
      <xdr:col>20</xdr:col>
      <xdr:colOff>18585</xdr:colOff>
      <xdr:row>12</xdr:row>
      <xdr:rowOff>166200</xdr:rowOff>
    </xdr:to>
    <xdr:sp macro="" textlink="">
      <xdr:nvSpPr>
        <xdr:cNvPr id="43" name="TextBox 42">
          <a:extLst>
            <a:ext uri="{FF2B5EF4-FFF2-40B4-BE49-F238E27FC236}">
              <a16:creationId xmlns:a16="http://schemas.microsoft.com/office/drawing/2014/main" id="{DFCB729D-F114-4BD9-A2D5-4B5D20486EF1}"/>
            </a:ext>
          </a:extLst>
        </xdr:cNvPr>
        <xdr:cNvSpPr txBox="1"/>
      </xdr:nvSpPr>
      <xdr:spPr>
        <a:xfrm>
          <a:off x="10396911" y="306338"/>
          <a:ext cx="3114650" cy="6032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chemeClr val="bg1"/>
              </a:solidFill>
            </a:rPr>
            <a:t>Gross Profit Margin</a:t>
          </a:r>
        </a:p>
      </xdr:txBody>
    </xdr:sp>
    <xdr:clientData/>
  </xdr:twoCellAnchor>
  <xdr:twoCellAnchor>
    <xdr:from>
      <xdr:col>21</xdr:col>
      <xdr:colOff>29914</xdr:colOff>
      <xdr:row>9</xdr:row>
      <xdr:rowOff>10392</xdr:rowOff>
    </xdr:from>
    <xdr:to>
      <xdr:col>27</xdr:col>
      <xdr:colOff>213845</xdr:colOff>
      <xdr:row>15</xdr:row>
      <xdr:rowOff>164590</xdr:rowOff>
    </xdr:to>
    <xdr:sp macro="" textlink="">
      <xdr:nvSpPr>
        <xdr:cNvPr id="46" name="Rectangle: Rounded Corners 45">
          <a:extLst>
            <a:ext uri="{FF2B5EF4-FFF2-40B4-BE49-F238E27FC236}">
              <a16:creationId xmlns:a16="http://schemas.microsoft.com/office/drawing/2014/main" id="{2AA84C98-4497-470B-ACF8-AE599865F4E4}"/>
            </a:ext>
          </a:extLst>
        </xdr:cNvPr>
        <xdr:cNvSpPr/>
      </xdr:nvSpPr>
      <xdr:spPr>
        <a:xfrm>
          <a:off x="1256548" y="1868929"/>
          <a:ext cx="3863834" cy="12693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23</xdr:col>
      <xdr:colOff>407916</xdr:colOff>
      <xdr:row>12</xdr:row>
      <xdr:rowOff>95813</xdr:rowOff>
    </xdr:from>
    <xdr:to>
      <xdr:col>24</xdr:col>
      <xdr:colOff>446049</xdr:colOff>
      <xdr:row>14</xdr:row>
      <xdr:rowOff>176564</xdr:rowOff>
    </xdr:to>
    <xdr:sp macro="" textlink="KPI_Summary!B5">
      <xdr:nvSpPr>
        <xdr:cNvPr id="47" name="TextBox 46">
          <a:extLst>
            <a:ext uri="{FF2B5EF4-FFF2-40B4-BE49-F238E27FC236}">
              <a16:creationId xmlns:a16="http://schemas.microsoft.com/office/drawing/2014/main" id="{C28372FB-B436-4D32-985B-7FF4A97E775D}"/>
            </a:ext>
          </a:extLst>
        </xdr:cNvPr>
        <xdr:cNvSpPr txBox="1"/>
      </xdr:nvSpPr>
      <xdr:spPr>
        <a:xfrm>
          <a:off x="2861184" y="2511911"/>
          <a:ext cx="651450" cy="4524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CC914A1-A56C-4040-A3F7-7E4A9202B1DC}" type="TxLink">
            <a:rPr lang="en-US" sz="2400" b="1" i="0" u="none" strike="noStrike">
              <a:solidFill>
                <a:schemeClr val="bg1"/>
              </a:solidFill>
              <a:latin typeface="Aptos Narrow"/>
            </a:rPr>
            <a:t>500</a:t>
          </a:fld>
          <a:endParaRPr lang="en-US" sz="2400" b="1">
            <a:solidFill>
              <a:schemeClr val="bg1"/>
            </a:solidFill>
          </a:endParaRPr>
        </a:p>
      </xdr:txBody>
    </xdr:sp>
    <xdr:clientData/>
  </xdr:twoCellAnchor>
  <xdr:twoCellAnchor>
    <xdr:from>
      <xdr:col>22</xdr:col>
      <xdr:colOff>370108</xdr:colOff>
      <xdr:row>9</xdr:row>
      <xdr:rowOff>139070</xdr:rowOff>
    </xdr:from>
    <xdr:to>
      <xdr:col>25</xdr:col>
      <xdr:colOff>557563</xdr:colOff>
      <xdr:row>12</xdr:row>
      <xdr:rowOff>184786</xdr:rowOff>
    </xdr:to>
    <xdr:sp macro="" textlink="">
      <xdr:nvSpPr>
        <xdr:cNvPr id="48" name="TextBox 47">
          <a:extLst>
            <a:ext uri="{FF2B5EF4-FFF2-40B4-BE49-F238E27FC236}">
              <a16:creationId xmlns:a16="http://schemas.microsoft.com/office/drawing/2014/main" id="{635B63A7-9274-4647-B938-3D3DE038E130}"/>
            </a:ext>
          </a:extLst>
        </xdr:cNvPr>
        <xdr:cNvSpPr txBox="1"/>
      </xdr:nvSpPr>
      <xdr:spPr>
        <a:xfrm>
          <a:off x="2210059" y="1997607"/>
          <a:ext cx="2027406" cy="6032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chemeClr val="bg1"/>
              </a:solidFill>
            </a:rPr>
            <a:t>Total Orders</a:t>
          </a:r>
        </a:p>
      </xdr:txBody>
    </xdr:sp>
    <xdr:clientData/>
  </xdr:twoCellAnchor>
  <xdr:twoCellAnchor>
    <xdr:from>
      <xdr:col>28</xdr:col>
      <xdr:colOff>29914</xdr:colOff>
      <xdr:row>9</xdr:row>
      <xdr:rowOff>10392</xdr:rowOff>
    </xdr:from>
    <xdr:to>
      <xdr:col>34</xdr:col>
      <xdr:colOff>213845</xdr:colOff>
      <xdr:row>15</xdr:row>
      <xdr:rowOff>164590</xdr:rowOff>
    </xdr:to>
    <xdr:sp macro="" textlink="">
      <xdr:nvSpPr>
        <xdr:cNvPr id="49" name="Rectangle: Rounded Corners 48">
          <a:extLst>
            <a:ext uri="{FF2B5EF4-FFF2-40B4-BE49-F238E27FC236}">
              <a16:creationId xmlns:a16="http://schemas.microsoft.com/office/drawing/2014/main" id="{F9497333-24F1-43D6-937C-0B52D82D427B}"/>
            </a:ext>
          </a:extLst>
        </xdr:cNvPr>
        <xdr:cNvSpPr/>
      </xdr:nvSpPr>
      <xdr:spPr>
        <a:xfrm>
          <a:off x="5564440" y="197550"/>
          <a:ext cx="3873616" cy="127714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30</xdr:col>
      <xdr:colOff>342867</xdr:colOff>
      <xdr:row>12</xdr:row>
      <xdr:rowOff>86520</xdr:rowOff>
    </xdr:from>
    <xdr:to>
      <xdr:col>31</xdr:col>
      <xdr:colOff>566854</xdr:colOff>
      <xdr:row>14</xdr:row>
      <xdr:rowOff>167271</xdr:rowOff>
    </xdr:to>
    <xdr:sp macro="" textlink="KPI_Summary!B6">
      <xdr:nvSpPr>
        <xdr:cNvPr id="50" name="TextBox 49">
          <a:extLst>
            <a:ext uri="{FF2B5EF4-FFF2-40B4-BE49-F238E27FC236}">
              <a16:creationId xmlns:a16="http://schemas.microsoft.com/office/drawing/2014/main" id="{FA6B9D0B-9CBC-4627-A1A9-8441E09131A3}"/>
            </a:ext>
          </a:extLst>
        </xdr:cNvPr>
        <xdr:cNvSpPr txBox="1"/>
      </xdr:nvSpPr>
      <xdr:spPr>
        <a:xfrm>
          <a:off x="7089355" y="2502618"/>
          <a:ext cx="837304" cy="4524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B7C2857-F378-462A-B4F5-C0453391E847}" type="TxLink">
            <a:rPr lang="en-US" sz="2400" b="1" i="0" u="none" strike="noStrike">
              <a:solidFill>
                <a:schemeClr val="bg1"/>
              </a:solidFill>
              <a:latin typeface="Aptos Narrow"/>
            </a:rPr>
            <a:t>1560</a:t>
          </a:fld>
          <a:endParaRPr lang="en-US" sz="2400" b="1">
            <a:solidFill>
              <a:schemeClr val="bg1"/>
            </a:solidFill>
          </a:endParaRPr>
        </a:p>
      </xdr:txBody>
    </xdr:sp>
    <xdr:clientData/>
  </xdr:twoCellAnchor>
  <xdr:twoCellAnchor>
    <xdr:from>
      <xdr:col>29</xdr:col>
      <xdr:colOff>305058</xdr:colOff>
      <xdr:row>9</xdr:row>
      <xdr:rowOff>139070</xdr:rowOff>
    </xdr:from>
    <xdr:to>
      <xdr:col>33</xdr:col>
      <xdr:colOff>46464</xdr:colOff>
      <xdr:row>12</xdr:row>
      <xdr:rowOff>184786</xdr:rowOff>
    </xdr:to>
    <xdr:sp macro="" textlink="">
      <xdr:nvSpPr>
        <xdr:cNvPr id="51" name="TextBox 50">
          <a:extLst>
            <a:ext uri="{FF2B5EF4-FFF2-40B4-BE49-F238E27FC236}">
              <a16:creationId xmlns:a16="http://schemas.microsoft.com/office/drawing/2014/main" id="{869E8A3B-2EFD-4511-B14D-D79BD99C2B74}"/>
            </a:ext>
          </a:extLst>
        </xdr:cNvPr>
        <xdr:cNvSpPr txBox="1"/>
      </xdr:nvSpPr>
      <xdr:spPr>
        <a:xfrm>
          <a:off x="6438229" y="1997607"/>
          <a:ext cx="2194674" cy="6032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chemeClr val="bg1"/>
              </a:solidFill>
            </a:rPr>
            <a:t>Quantity Sold</a:t>
          </a:r>
        </a:p>
      </xdr:txBody>
    </xdr:sp>
    <xdr:clientData/>
  </xdr:twoCellAnchor>
  <xdr:twoCellAnchor>
    <xdr:from>
      <xdr:col>35</xdr:col>
      <xdr:colOff>29914</xdr:colOff>
      <xdr:row>9</xdr:row>
      <xdr:rowOff>10392</xdr:rowOff>
    </xdr:from>
    <xdr:to>
      <xdr:col>41</xdr:col>
      <xdr:colOff>213845</xdr:colOff>
      <xdr:row>15</xdr:row>
      <xdr:rowOff>164590</xdr:rowOff>
    </xdr:to>
    <xdr:sp macro="" textlink="">
      <xdr:nvSpPr>
        <xdr:cNvPr id="52" name="Rectangle: Rounded Corners 51">
          <a:extLst>
            <a:ext uri="{FF2B5EF4-FFF2-40B4-BE49-F238E27FC236}">
              <a16:creationId xmlns:a16="http://schemas.microsoft.com/office/drawing/2014/main" id="{3D899AE1-F4A7-4454-BDAD-5285DF311573}"/>
            </a:ext>
          </a:extLst>
        </xdr:cNvPr>
        <xdr:cNvSpPr/>
      </xdr:nvSpPr>
      <xdr:spPr>
        <a:xfrm>
          <a:off x="9842987" y="1868929"/>
          <a:ext cx="3863834" cy="12693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36</xdr:col>
      <xdr:colOff>426500</xdr:colOff>
      <xdr:row>12</xdr:row>
      <xdr:rowOff>105105</xdr:rowOff>
    </xdr:from>
    <xdr:to>
      <xdr:col>39</xdr:col>
      <xdr:colOff>461536</xdr:colOff>
      <xdr:row>15</xdr:row>
      <xdr:rowOff>2</xdr:rowOff>
    </xdr:to>
    <xdr:sp macro="" textlink="KPI_Summary!B7">
      <xdr:nvSpPr>
        <xdr:cNvPr id="53" name="TextBox 52">
          <a:extLst>
            <a:ext uri="{FF2B5EF4-FFF2-40B4-BE49-F238E27FC236}">
              <a16:creationId xmlns:a16="http://schemas.microsoft.com/office/drawing/2014/main" id="{7A5312FB-CCEE-4CD5-94F3-5819E316E96A}"/>
            </a:ext>
          </a:extLst>
        </xdr:cNvPr>
        <xdr:cNvSpPr txBox="1"/>
      </xdr:nvSpPr>
      <xdr:spPr>
        <a:xfrm>
          <a:off x="10852890" y="2521203"/>
          <a:ext cx="1874987" cy="4524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231F5DD-BA27-4069-9624-24019E4A4B1B}" type="TxLink">
            <a:rPr lang="en-US" sz="2400" b="1" i="0" u="none" strike="noStrike">
              <a:solidFill>
                <a:schemeClr val="bg1"/>
              </a:solidFill>
              <a:latin typeface="Arial Unicode MS"/>
            </a:rPr>
            <a:t>30066.3847</a:t>
          </a:fld>
          <a:endParaRPr lang="en-US" sz="2400" b="1">
            <a:solidFill>
              <a:schemeClr val="bg1"/>
            </a:solidFill>
          </a:endParaRPr>
        </a:p>
      </xdr:txBody>
    </xdr:sp>
    <xdr:clientData/>
  </xdr:twoCellAnchor>
  <xdr:twoCellAnchor>
    <xdr:from>
      <xdr:col>35</xdr:col>
      <xdr:colOff>435155</xdr:colOff>
      <xdr:row>9</xdr:row>
      <xdr:rowOff>157655</xdr:rowOff>
    </xdr:from>
    <xdr:to>
      <xdr:col>40</xdr:col>
      <xdr:colOff>594731</xdr:colOff>
      <xdr:row>13</xdr:row>
      <xdr:rowOff>17518</xdr:rowOff>
    </xdr:to>
    <xdr:sp macro="" textlink="">
      <xdr:nvSpPr>
        <xdr:cNvPr id="54" name="TextBox 53">
          <a:extLst>
            <a:ext uri="{FF2B5EF4-FFF2-40B4-BE49-F238E27FC236}">
              <a16:creationId xmlns:a16="http://schemas.microsoft.com/office/drawing/2014/main" id="{C324D5AD-DF95-4D56-851E-AFAA006202CC}"/>
            </a:ext>
          </a:extLst>
        </xdr:cNvPr>
        <xdr:cNvSpPr txBox="1"/>
      </xdr:nvSpPr>
      <xdr:spPr>
        <a:xfrm>
          <a:off x="10248228" y="2016192"/>
          <a:ext cx="3226162" cy="6032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chemeClr val="bg1"/>
              </a:solidFill>
            </a:rPr>
            <a:t>Average Order Value</a:t>
          </a:r>
        </a:p>
      </xdr:txBody>
    </xdr:sp>
    <xdr:clientData/>
  </xdr:twoCellAnchor>
  <xdr:oneCellAnchor>
    <xdr:from>
      <xdr:col>0</xdr:col>
      <xdr:colOff>199821</xdr:colOff>
      <xdr:row>17</xdr:row>
      <xdr:rowOff>153247</xdr:rowOff>
    </xdr:from>
    <xdr:ext cx="5268649" cy="823906"/>
    <mc:AlternateContent xmlns:mc="http://schemas.openxmlformats.org/markup-compatibility/2006">
      <mc:Choice xmlns:a14="http://schemas.microsoft.com/office/drawing/2010/main" Requires="a14">
        <xdr:graphicFrame macro="">
          <xdr:nvGraphicFramePr>
            <xdr:cNvPr id="55" name="StoreID">
              <a:extLst>
                <a:ext uri="{FF2B5EF4-FFF2-40B4-BE49-F238E27FC236}">
                  <a16:creationId xmlns:a16="http://schemas.microsoft.com/office/drawing/2014/main" id="{17D1CE98-8F12-4EA6-BE87-553F2A5ED143}"/>
                </a:ext>
              </a:extLst>
            </xdr:cNvPr>
            <xdr:cNvGraphicFramePr/>
          </xdr:nvGraphicFramePr>
          <xdr:xfrm>
            <a:off x="0" y="0"/>
            <a:ext cx="0" cy="0"/>
          </xdr:xfrm>
          <a:graphic>
            <a:graphicData uri="http://schemas.microsoft.com/office/drawing/2010/slicer">
              <sle:slicer xmlns:sle="http://schemas.microsoft.com/office/drawing/2010/slicer" name="StoreID"/>
            </a:graphicData>
          </a:graphic>
        </xdr:graphicFrame>
      </mc:Choice>
      <mc:Fallback>
        <xdr:sp macro="" textlink="">
          <xdr:nvSpPr>
            <xdr:cNvPr id="0" name=""/>
            <xdr:cNvSpPr>
              <a:spLocks noTextEdit="1"/>
            </xdr:cNvSpPr>
          </xdr:nvSpPr>
          <xdr:spPr>
            <a:xfrm>
              <a:off x="199821" y="3181455"/>
              <a:ext cx="5268649" cy="8239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9</xdr:col>
      <xdr:colOff>606522</xdr:colOff>
      <xdr:row>18</xdr:row>
      <xdr:rowOff>23078</xdr:rowOff>
    </xdr:from>
    <xdr:ext cx="3782839" cy="760686"/>
    <mc:AlternateContent xmlns:mc="http://schemas.openxmlformats.org/markup-compatibility/2006">
      <mc:Choice xmlns:a14="http://schemas.microsoft.com/office/drawing/2010/main" Requires="a14">
        <xdr:graphicFrame macro="">
          <xdr:nvGraphicFramePr>
            <xdr:cNvPr id="56" name="SalesChannel">
              <a:extLst>
                <a:ext uri="{FF2B5EF4-FFF2-40B4-BE49-F238E27FC236}">
                  <a16:creationId xmlns:a16="http://schemas.microsoft.com/office/drawing/2014/main" id="{D3F733A9-05E3-4AF6-A1F0-F9FD84769121}"/>
                </a:ext>
              </a:extLst>
            </xdr:cNvPr>
            <xdr:cNvGraphicFramePr/>
          </xdr:nvGraphicFramePr>
          <xdr:xfrm>
            <a:off x="0" y="0"/>
            <a:ext cx="0" cy="0"/>
          </xdr:xfrm>
          <a:graphic>
            <a:graphicData uri="http://schemas.microsoft.com/office/drawing/2010/slicer">
              <sle:slicer xmlns:sle="http://schemas.microsoft.com/office/drawing/2010/slicer" name="SalesChannel"/>
            </a:graphicData>
          </a:graphic>
        </xdr:graphicFrame>
      </mc:Choice>
      <mc:Fallback>
        <xdr:sp macro="" textlink="">
          <xdr:nvSpPr>
            <xdr:cNvPr id="0" name=""/>
            <xdr:cNvSpPr>
              <a:spLocks noTextEdit="1"/>
            </xdr:cNvSpPr>
          </xdr:nvSpPr>
          <xdr:spPr>
            <a:xfrm>
              <a:off x="6128548" y="3229416"/>
              <a:ext cx="3782839" cy="7606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xdr:from>
      <xdr:col>1</xdr:col>
      <xdr:colOff>0</xdr:colOff>
      <xdr:row>1</xdr:row>
      <xdr:rowOff>15241</xdr:rowOff>
    </xdr:from>
    <xdr:to>
      <xdr:col>24</xdr:col>
      <xdr:colOff>594360</xdr:colOff>
      <xdr:row>5</xdr:row>
      <xdr:rowOff>7621</xdr:rowOff>
    </xdr:to>
    <xdr:sp macro="" textlink="">
      <xdr:nvSpPr>
        <xdr:cNvPr id="57" name="Rectangle: Rounded Corners 56">
          <a:extLst>
            <a:ext uri="{FF2B5EF4-FFF2-40B4-BE49-F238E27FC236}">
              <a16:creationId xmlns:a16="http://schemas.microsoft.com/office/drawing/2014/main" id="{EBCF6CF5-9617-EF1F-D7A4-3AE168FAD056}"/>
            </a:ext>
          </a:extLst>
        </xdr:cNvPr>
        <xdr:cNvSpPr/>
      </xdr:nvSpPr>
      <xdr:spPr>
        <a:xfrm>
          <a:off x="609600" y="198121"/>
          <a:ext cx="14615160" cy="7239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ehan" refreshedDate="46319.916777199076" createdVersion="8" refreshedVersion="8" minRefreshableVersion="3" recordCount="500" xr:uid="{2813D854-3158-4C0A-BF90-192529E7774B}">
  <cacheSource type="worksheet">
    <worksheetSource name="sales"/>
  </cacheSource>
  <cacheFields count="19">
    <cacheField name="OrderID" numFmtId="0">
      <sharedItems/>
    </cacheField>
    <cacheField name="LineID" numFmtId="0">
      <sharedItems/>
    </cacheField>
    <cacheField name="Date" numFmtId="14">
      <sharedItems containsSemiMixedTypes="0" containsNonDate="0" containsDate="1" containsString="0" minDate="2025-01-01T00:00:00" maxDate="2026-06-24T00:00:00" count="321">
        <d v="2025-06-15T00:00:00"/>
        <d v="2025-01-20T00:00:00"/>
        <d v="2025-03-22T00:00:00"/>
        <d v="2026-05-02T00:00:00"/>
        <d v="2025-07-25T00:00:00"/>
        <d v="2025-09-11T00:00:00"/>
        <d v="2025-08-14T00:00:00"/>
        <d v="2025-02-02T00:00:00"/>
        <d v="2026-05-13T00:00:00"/>
        <d v="2026-04-30T00:00:00"/>
        <d v="2026-03-10T00:00:00"/>
        <d v="2026-02-17T00:00:00"/>
        <d v="2026-04-05T00:00:00"/>
        <d v="2025-03-19T00:00:00"/>
        <d v="2025-08-31T00:00:00"/>
        <d v="2026-02-15T00:00:00"/>
        <d v="2026-04-11T00:00:00"/>
        <d v="2025-07-14T00:00:00"/>
        <d v="2025-11-18T00:00:00"/>
        <d v="2026-06-05T00:00:00"/>
        <d v="2025-08-29T00:00:00"/>
        <d v="2025-03-25T00:00:00"/>
        <d v="2025-09-25T00:00:00"/>
        <d v="2025-11-04T00:00:00"/>
        <d v="2025-04-13T00:00:00"/>
        <d v="2025-12-24T00:00:00"/>
        <d v="2025-11-06T00:00:00"/>
        <d v="2025-04-17T00:00:00"/>
        <d v="2025-10-16T00:00:00"/>
        <d v="2026-05-16T00:00:00"/>
        <d v="2025-10-11T00:00:00"/>
        <d v="2025-09-26T00:00:00"/>
        <d v="2025-01-10T00:00:00"/>
        <d v="2026-01-14T00:00:00"/>
        <d v="2025-11-12T00:00:00"/>
        <d v="2025-04-16T00:00:00"/>
        <d v="2025-12-07T00:00:00"/>
        <d v="2025-02-09T00:00:00"/>
        <d v="2025-08-22T00:00:00"/>
        <d v="2025-03-13T00:00:00"/>
        <d v="2025-04-29T00:00:00"/>
        <d v="2026-03-21T00:00:00"/>
        <d v="2026-03-18T00:00:00"/>
        <d v="2025-10-30T00:00:00"/>
        <d v="2025-06-28T00:00:00"/>
        <d v="2025-10-21T00:00:00"/>
        <d v="2026-03-29T00:00:00"/>
        <d v="2025-03-28T00:00:00"/>
        <d v="2025-09-08T00:00:00"/>
        <d v="2025-07-19T00:00:00"/>
        <d v="2025-01-06T00:00:00"/>
        <d v="2025-09-13T00:00:00"/>
        <d v="2026-03-30T00:00:00"/>
        <d v="2025-06-12T00:00:00"/>
        <d v="2025-10-20T00:00:00"/>
        <d v="2025-06-04T00:00:00"/>
        <d v="2026-03-01T00:00:00"/>
        <d v="2025-07-31T00:00:00"/>
        <d v="2026-01-25T00:00:00"/>
        <d v="2026-03-06T00:00:00"/>
        <d v="2025-10-07T00:00:00"/>
        <d v="2026-02-19T00:00:00"/>
        <d v="2026-02-08T00:00:00"/>
        <d v="2026-04-18T00:00:00"/>
        <d v="2025-03-12T00:00:00"/>
        <d v="2025-06-06T00:00:00"/>
        <d v="2025-08-12T00:00:00"/>
        <d v="2025-06-17T00:00:00"/>
        <d v="2026-01-20T00:00:00"/>
        <d v="2025-11-05T00:00:00"/>
        <d v="2026-03-15T00:00:00"/>
        <d v="2026-03-07T00:00:00"/>
        <d v="2026-05-11T00:00:00"/>
        <d v="2025-09-09T00:00:00"/>
        <d v="2026-01-24T00:00:00"/>
        <d v="2025-08-06T00:00:00"/>
        <d v="2025-01-11T00:00:00"/>
        <d v="2025-09-04T00:00:00"/>
        <d v="2025-08-15T00:00:00"/>
        <d v="2025-12-19T00:00:00"/>
        <d v="2025-11-10T00:00:00"/>
        <d v="2025-05-03T00:00:00"/>
        <d v="2026-06-22T00:00:00"/>
        <d v="2026-01-05T00:00:00"/>
        <d v="2025-02-16T00:00:00"/>
        <d v="2026-05-18T00:00:00"/>
        <d v="2026-03-28T00:00:00"/>
        <d v="2025-03-08T00:00:00"/>
        <d v="2025-06-02T00:00:00"/>
        <d v="2026-03-03T00:00:00"/>
        <d v="2025-04-12T00:00:00"/>
        <d v="2025-09-03T00:00:00"/>
        <d v="2026-04-07T00:00:00"/>
        <d v="2025-10-17T00:00:00"/>
        <d v="2025-04-28T00:00:00"/>
        <d v="2025-03-03T00:00:00"/>
        <d v="2025-05-08T00:00:00"/>
        <d v="2025-03-24T00:00:00"/>
        <d v="2025-09-14T00:00:00"/>
        <d v="2025-10-03T00:00:00"/>
        <d v="2025-10-12T00:00:00"/>
        <d v="2026-04-27T00:00:00"/>
        <d v="2025-06-14T00:00:00"/>
        <d v="2025-02-07T00:00:00"/>
        <d v="2026-02-18T00:00:00"/>
        <d v="2025-07-12T00:00:00"/>
        <d v="2025-10-22T00:00:00"/>
        <d v="2025-08-19T00:00:00"/>
        <d v="2025-10-26T00:00:00"/>
        <d v="2026-04-13T00:00:00"/>
        <d v="2025-01-03T00:00:00"/>
        <d v="2026-01-22T00:00:00"/>
        <d v="2026-01-28T00:00:00"/>
        <d v="2026-01-26T00:00:00"/>
        <d v="2025-12-06T00:00:00"/>
        <d v="2025-05-28T00:00:00"/>
        <d v="2026-02-12T00:00:00"/>
        <d v="2026-05-15T00:00:00"/>
        <d v="2025-06-20T00:00:00"/>
        <d v="2026-01-03T00:00:00"/>
        <d v="2025-07-04T00:00:00"/>
        <d v="2025-09-18T00:00:00"/>
        <d v="2025-06-11T00:00:00"/>
        <d v="2026-03-11T00:00:00"/>
        <d v="2026-05-10T00:00:00"/>
        <d v="2025-02-20T00:00:00"/>
        <d v="2025-12-27T00:00:00"/>
        <d v="2025-04-10T00:00:00"/>
        <d v="2025-05-15T00:00:00"/>
        <d v="2025-06-18T00:00:00"/>
        <d v="2026-02-11T00:00:00"/>
        <d v="2025-05-07T00:00:00"/>
        <d v="2026-01-16T00:00:00"/>
        <d v="2025-05-24T00:00:00"/>
        <d v="2026-05-17T00:00:00"/>
        <d v="2026-03-31T00:00:00"/>
        <d v="2025-12-08T00:00:00"/>
        <d v="2025-08-01T00:00:00"/>
        <d v="2025-09-01T00:00:00"/>
        <d v="2025-05-10T00:00:00"/>
        <d v="2025-02-01T00:00:00"/>
        <d v="2025-10-29T00:00:00"/>
        <d v="2025-12-14T00:00:00"/>
        <d v="2026-03-14T00:00:00"/>
        <d v="2025-04-04T00:00:00"/>
        <d v="2025-05-14T00:00:00"/>
        <d v="2025-05-06T00:00:00"/>
        <d v="2025-11-16T00:00:00"/>
        <d v="2026-05-09T00:00:00"/>
        <d v="2025-10-13T00:00:00"/>
        <d v="2025-10-01T00:00:00"/>
        <d v="2025-05-26T00:00:00"/>
        <d v="2026-04-10T00:00:00"/>
        <d v="2025-10-18T00:00:00"/>
        <d v="2025-08-05T00:00:00"/>
        <d v="2026-05-25T00:00:00"/>
        <d v="2025-12-29T00:00:00"/>
        <d v="2025-03-21T00:00:00"/>
        <d v="2026-03-04T00:00:00"/>
        <d v="2026-04-17T00:00:00"/>
        <d v="2026-06-07T00:00:00"/>
        <d v="2025-11-27T00:00:00"/>
        <d v="2025-11-07T00:00:00"/>
        <d v="2025-04-03T00:00:00"/>
        <d v="2025-02-12T00:00:00"/>
        <d v="2025-06-26T00:00:00"/>
        <d v="2026-01-17T00:00:00"/>
        <d v="2025-02-23T00:00:00"/>
        <d v="2025-09-16T00:00:00"/>
        <d v="2025-12-25T00:00:00"/>
        <d v="2026-01-21T00:00:00"/>
        <d v="2026-01-06T00:00:00"/>
        <d v="2025-04-14T00:00:00"/>
        <d v="2025-06-19T00:00:00"/>
        <d v="2025-10-19T00:00:00"/>
        <d v="2026-04-26T00:00:00"/>
        <d v="2025-07-24T00:00:00"/>
        <d v="2025-08-16T00:00:00"/>
        <d v="2026-05-30T00:00:00"/>
        <d v="2025-01-29T00:00:00"/>
        <d v="2025-03-23T00:00:00"/>
        <d v="2025-10-23T00:00:00"/>
        <d v="2026-04-14T00:00:00"/>
        <d v="2026-06-12T00:00:00"/>
        <d v="2025-12-28T00:00:00"/>
        <d v="2025-03-11T00:00:00"/>
        <d v="2025-02-15T00:00:00"/>
        <d v="2026-04-21T00:00:00"/>
        <d v="2025-10-28T00:00:00"/>
        <d v="2025-11-14T00:00:00"/>
        <d v="2025-07-15T00:00:00"/>
        <d v="2026-01-31T00:00:00"/>
        <d v="2026-06-16T00:00:00"/>
        <d v="2026-03-22T00:00:00"/>
        <d v="2026-06-10T00:00:00"/>
        <d v="2025-02-03T00:00:00"/>
        <d v="2025-03-20T00:00:00"/>
        <d v="2026-06-15T00:00:00"/>
        <d v="2026-04-02T00:00:00"/>
        <d v="2025-11-24T00:00:00"/>
        <d v="2026-01-13T00:00:00"/>
        <d v="2025-11-13T00:00:00"/>
        <d v="2025-03-17T00:00:00"/>
        <d v="2026-06-14T00:00:00"/>
        <d v="2025-05-13T00:00:00"/>
        <d v="2025-06-07T00:00:00"/>
        <d v="2025-01-30T00:00:00"/>
        <d v="2025-12-15T00:00:00"/>
        <d v="2025-12-20T00:00:00"/>
        <d v="2025-09-05T00:00:00"/>
        <d v="2025-06-13T00:00:00"/>
        <d v="2026-02-07T00:00:00"/>
        <d v="2025-02-21T00:00:00"/>
        <d v="2025-01-09T00:00:00"/>
        <d v="2025-05-02T00:00:00"/>
        <d v="2026-01-10T00:00:00"/>
        <d v="2025-02-11T00:00:00"/>
        <d v="2026-05-01T00:00:00"/>
        <d v="2025-11-23T00:00:00"/>
        <d v="2025-12-11T00:00:00"/>
        <d v="2025-01-18T00:00:00"/>
        <d v="2025-01-28T00:00:00"/>
        <d v="2025-02-22T00:00:00"/>
        <d v="2025-09-06T00:00:00"/>
        <d v="2026-05-29T00:00:00"/>
        <d v="2025-06-27T00:00:00"/>
        <d v="2025-09-28T00:00:00"/>
        <d v="2025-11-02T00:00:00"/>
        <d v="2025-05-05T00:00:00"/>
        <d v="2025-05-30T00:00:00"/>
        <d v="2025-10-06T00:00:00"/>
        <d v="2025-12-05T00:00:00"/>
        <d v="2026-05-03T00:00:00"/>
        <d v="2025-03-02T00:00:00"/>
        <d v="2025-06-29T00:00:00"/>
        <d v="2025-10-24T00:00:00"/>
        <d v="2025-12-10T00:00:00"/>
        <d v="2025-05-18T00:00:00"/>
        <d v="2025-06-16T00:00:00"/>
        <d v="2025-08-30T00:00:00"/>
        <d v="2026-01-04T00:00:00"/>
        <d v="2026-02-20T00:00:00"/>
        <d v="2026-01-18T00:00:00"/>
        <d v="2025-04-25T00:00:00"/>
        <d v="2025-12-02T00:00:00"/>
        <d v="2025-03-16T00:00:00"/>
        <d v="2025-05-19T00:00:00"/>
        <d v="2026-04-20T00:00:00"/>
        <d v="2025-02-04T00:00:00"/>
        <d v="2026-03-26T00:00:00"/>
        <d v="2026-05-31T00:00:00"/>
        <d v="2025-03-04T00:00:00"/>
        <d v="2026-05-23T00:00:00"/>
        <d v="2026-04-06T00:00:00"/>
        <d v="2025-10-02T00:00:00"/>
        <d v="2025-08-11T00:00:00"/>
        <d v="2025-04-11T00:00:00"/>
        <d v="2025-03-18T00:00:00"/>
        <d v="2026-03-17T00:00:00"/>
        <d v="2025-07-16T00:00:00"/>
        <d v="2025-08-20T00:00:00"/>
        <d v="2025-06-25T00:00:00"/>
        <d v="2025-04-08T00:00:00"/>
        <d v="2025-02-17T00:00:00"/>
        <d v="2025-11-19T00:00:00"/>
        <d v="2025-12-01T00:00:00"/>
        <d v="2025-07-11T00:00:00"/>
        <d v="2025-01-27T00:00:00"/>
        <d v="2026-01-30T00:00:00"/>
        <d v="2025-05-23T00:00:00"/>
        <d v="2025-06-21T00:00:00"/>
        <d v="2025-07-20T00:00:00"/>
        <d v="2025-05-20T00:00:00"/>
        <d v="2026-02-23T00:00:00"/>
        <d v="2025-12-30T00:00:00"/>
        <d v="2026-01-19T00:00:00"/>
        <d v="2025-01-26T00:00:00"/>
        <d v="2025-03-10T00:00:00"/>
        <d v="2025-04-22T00:00:00"/>
        <d v="2026-03-13T00:00:00"/>
        <d v="2026-03-19T00:00:00"/>
        <d v="2026-03-16T00:00:00"/>
        <d v="2025-03-06T00:00:00"/>
        <d v="2025-07-21T00:00:00"/>
        <d v="2025-11-17T00:00:00"/>
        <d v="2025-07-07T00:00:00"/>
        <d v="2025-05-22T00:00:00"/>
        <d v="2026-05-19T00:00:00"/>
        <d v="2026-06-08T00:00:00"/>
        <d v="2025-03-31T00:00:00"/>
        <d v="2025-10-27T00:00:00"/>
        <d v="2026-02-26T00:00:00"/>
        <d v="2025-01-01T00:00:00"/>
        <d v="2025-10-08T00:00:00"/>
        <d v="2025-05-04T00:00:00"/>
        <d v="2025-04-02T00:00:00"/>
        <d v="2026-01-27T00:00:00"/>
        <d v="2026-02-06T00:00:00"/>
        <d v="2025-11-21T00:00:00"/>
        <d v="2025-03-27T00:00:00"/>
        <d v="2025-09-02T00:00:00"/>
        <d v="2025-02-26T00:00:00"/>
        <d v="2025-01-12T00:00:00"/>
        <d v="2026-04-12T00:00:00"/>
        <d v="2026-06-06T00:00:00"/>
        <d v="2026-01-08T00:00:00"/>
        <d v="2025-11-26T00:00:00"/>
        <d v="2026-06-13T00:00:00"/>
        <d v="2025-11-15T00:00:00"/>
        <d v="2025-01-07T00:00:00"/>
        <d v="2025-07-30T00:00:00"/>
        <d v="2025-10-14T00:00:00"/>
        <d v="2026-04-23T00:00:00"/>
        <d v="2025-11-03T00:00:00"/>
        <d v="2025-03-05T00:00:00"/>
        <d v="2025-07-22T00:00:00"/>
        <d v="2025-01-31T00:00:00"/>
        <d v="2026-06-23T00:00:00"/>
        <d v="2026-05-12T00:00:00"/>
        <d v="2025-10-15T00:00:00"/>
        <d v="2025-08-13T00:00:00"/>
      </sharedItems>
      <fieldGroup par="18"/>
    </cacheField>
    <cacheField name="ProductID" numFmtId="0">
      <sharedItems count="30">
        <s v="P012"/>
        <s v="P016"/>
        <s v="P008"/>
        <s v="P005"/>
        <s v="P007"/>
        <s v="P004"/>
        <s v="P019"/>
        <s v="P029"/>
        <s v="P022"/>
        <s v="P002"/>
        <s v="P018"/>
        <s v="P003"/>
        <s v="P028"/>
        <s v="P009"/>
        <s v="P024"/>
        <s v="P020"/>
        <s v="P030"/>
        <s v="P015"/>
        <s v="P017"/>
        <s v="P027"/>
        <s v="P021"/>
        <s v="P013"/>
        <s v="P010"/>
        <s v="P001"/>
        <s v="P023"/>
        <s v="P025"/>
        <s v="P011"/>
        <s v="P006"/>
        <s v="P014"/>
        <s v="P026"/>
      </sharedItems>
    </cacheField>
    <cacheField name="StoreID" numFmtId="0">
      <sharedItems count="5">
        <s v="S01"/>
        <s v="S03"/>
        <s v="S05"/>
        <s v="S02"/>
        <s v="S04"/>
      </sharedItems>
    </cacheField>
    <cacheField name="CustomerID" numFmtId="0">
      <sharedItems/>
    </cacheField>
    <cacheField name="SalesChannel" numFmtId="0">
      <sharedItems count="2">
        <s v="Online"/>
        <s v="In-Store"/>
      </sharedItems>
    </cacheField>
    <cacheField name="Quantity" numFmtId="0">
      <sharedItems containsSemiMixedTypes="0" containsString="0" containsNumber="1" containsInteger="1" minValue="1" maxValue="5"/>
    </cacheField>
    <cacheField name="UnitPrice" numFmtId="0">
      <sharedItems containsSemiMixedTypes="0" containsString="0" containsNumber="1" minValue="614.66" maxValue="19555.88"/>
    </cacheField>
    <cacheField name="DiscountRate" numFmtId="0">
      <sharedItems containsSemiMixedTypes="0" containsString="0" containsNumber="1" minValue="0" maxValue="0.2"/>
    </cacheField>
    <cacheField name="UnitCostAtSale" numFmtId="0">
      <sharedItems containsSemiMixedTypes="0" containsString="0" containsNumber="1" containsInteger="1" minValue="400" maxValue="14600"/>
    </cacheField>
    <cacheField name="GrossSales" numFmtId="0">
      <sharedItems containsSemiMixedTypes="0" containsString="0" containsNumber="1" minValue="614.66" maxValue="97779.400000000009"/>
    </cacheField>
    <cacheField name="DiscountAmount" numFmtId="0">
      <sharedItems containsSemiMixedTypes="0" containsString="0" containsNumber="1" minValue="0" maxValue="19555.88"/>
    </cacheField>
    <cacheField name="SalesAfterDiscount" numFmtId="0">
      <sharedItems containsSemiMixedTypes="0" containsString="0" containsNumber="1" minValue="553.19399999999996" maxValue="96188.9"/>
    </cacheField>
    <cacheField name="CostOfGoodsSold" numFmtId="0">
      <sharedItems containsSemiMixedTypes="0" containsString="0" containsNumber="1" containsInteger="1" minValue="400" maxValue="73000"/>
    </cacheField>
    <cacheField name="GrossProfit" numFmtId="0">
      <sharedItems containsSemiMixedTypes="0" containsString="0" containsNumber="1" minValue="-1655.0800000000017" maxValue="30438.899999999994"/>
    </cacheField>
    <cacheField name="GrossProfitMargin" numFmtId="0">
      <sharedItems containsSemiMixedTypes="0" containsString="0" containsNumber="1" minValue="-4.8873442253765068E-2" maxValue="0.38646182672188162"/>
    </cacheField>
    <cacheField name="Months (Date)" numFmtId="0" databaseField="0">
      <fieldGroup base="2">
        <rangePr groupBy="months" startDate="2025-01-01T00:00:00" endDate="2026-06-24T00:00:00"/>
        <groupItems count="14">
          <s v="&lt;1/1/2025"/>
          <s v="Jan"/>
          <s v="Feb"/>
          <s v="Mar"/>
          <s v="Apr"/>
          <s v="May"/>
          <s v="Jun"/>
          <s v="Jul"/>
          <s v="Aug"/>
          <s v="Sep"/>
          <s v="Oct"/>
          <s v="Nov"/>
          <s v="Dec"/>
          <s v="&gt;6/24/2026"/>
        </groupItems>
      </fieldGroup>
    </cacheField>
    <cacheField name="Years (Date)" numFmtId="0" databaseField="0">
      <fieldGroup base="2">
        <rangePr groupBy="years" startDate="2025-01-01T00:00:00" endDate="2026-06-24T00:00:00"/>
        <groupItems count="4">
          <s v="&lt;1/1/2025"/>
          <s v="2025"/>
          <s v="2026"/>
          <s v="&gt;6/24/2026"/>
        </groupItems>
      </fieldGroup>
    </cacheField>
  </cacheFields>
  <extLst>
    <ext xmlns:x14="http://schemas.microsoft.com/office/spreadsheetml/2009/9/main" uri="{725AE2AE-9491-48be-B2B4-4EB974FC3084}">
      <x14:pivotCacheDefinition pivotCacheId="1306816253"/>
    </ext>
    <ext xmlns:xxpvi="http://schemas.microsoft.com/office/spreadsheetml/2022/pivotVersionInfo" uri="{9F748A41-CAEA-4470-BF7A-CE61E8FFA7F9}">
      <xxpvi:cacheVersionInfo>
        <xxpvi:lastRefreshFeature>Autorefresh</xxpvi:lastRefreshFeature>
      </xxpvi:cacheVersionInfo>
    </ext>
    <ext xmlns:xlpar="http://schemas.microsoft.com/office/spreadsheetml/2024/pivotAutoRefresh" uri="{DA1E1B2C-A1EE-400B-A0BD-712935E3C959}">
      <xlpar:autoRefresh>1</xlpar:autoRefresh>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ORD00001"/>
    <s v="L00001"/>
    <x v="0"/>
    <x v="0"/>
    <x v="0"/>
    <s v="C0077"/>
    <x v="0"/>
    <n v="5"/>
    <n v="6484.94"/>
    <n v="0.2"/>
    <n v="4300"/>
    <n v="32424.699999999997"/>
    <n v="6484.94"/>
    <n v="25939.759999999998"/>
    <n v="21500"/>
    <n v="4439.7599999999984"/>
    <n v="0.17115655657569687"/>
  </r>
  <r>
    <s v="ORD00002"/>
    <s v="L00002"/>
    <x v="1"/>
    <x v="1"/>
    <x v="1"/>
    <s v="C0031"/>
    <x v="1"/>
    <n v="1"/>
    <n v="12193.29"/>
    <n v="0.1"/>
    <n v="9950"/>
    <n v="12193.29"/>
    <n v="1219.3290000000002"/>
    <n v="10973.961000000001"/>
    <n v="9950"/>
    <n v="1023.9610000000011"/>
    <n v="9.3308241208438877E-2"/>
  </r>
  <r>
    <s v="ORD00003"/>
    <s v="L00003"/>
    <x v="2"/>
    <x v="2"/>
    <x v="0"/>
    <s v="C0098"/>
    <x v="1"/>
    <n v="1"/>
    <n v="18592.419999999998"/>
    <n v="0.15"/>
    <n v="14600"/>
    <n v="18592.419999999998"/>
    <n v="2788.8629999999998"/>
    <n v="15803.556999999999"/>
    <n v="14600"/>
    <n v="1203.5569999999989"/>
    <n v="7.6157348627274163E-2"/>
  </r>
  <r>
    <s v="ORD00004"/>
    <s v="L00004"/>
    <x v="3"/>
    <x v="3"/>
    <x v="1"/>
    <s v="C0068"/>
    <x v="0"/>
    <n v="5"/>
    <n v="13204.06"/>
    <n v="0.05"/>
    <n v="11050"/>
    <n v="66020.3"/>
    <n v="3301.0150000000003"/>
    <n v="62719.285000000003"/>
    <n v="55250"/>
    <n v="7469.2850000000035"/>
    <n v="0.11909072305272618"/>
  </r>
  <r>
    <s v="ORD00005"/>
    <s v="L00005"/>
    <x v="4"/>
    <x v="4"/>
    <x v="1"/>
    <s v="C0057"/>
    <x v="0"/>
    <n v="3"/>
    <n v="19237.78"/>
    <n v="0.15"/>
    <n v="13150"/>
    <n v="57713.34"/>
    <n v="8657.0009999999984"/>
    <n v="49056.339"/>
    <n v="39450"/>
    <n v="9606.3389999999999"/>
    <n v="0.1958225826839626"/>
  </r>
  <r>
    <s v="ORD00006"/>
    <s v="L00006"/>
    <x v="5"/>
    <x v="5"/>
    <x v="1"/>
    <s v="C0003"/>
    <x v="1"/>
    <n v="2"/>
    <n v="17336.23"/>
    <n v="0"/>
    <n v="14200"/>
    <n v="34672.46"/>
    <n v="0"/>
    <n v="34672.46"/>
    <n v="28400"/>
    <n v="6272.4599999999991"/>
    <n v="0.18090611395903258"/>
  </r>
  <r>
    <s v="ORD00007"/>
    <s v="L00007"/>
    <x v="6"/>
    <x v="6"/>
    <x v="0"/>
    <s v="C0030"/>
    <x v="1"/>
    <n v="1"/>
    <n v="17279.419999999998"/>
    <n v="0"/>
    <n v="13950"/>
    <n v="17279.419999999998"/>
    <n v="0"/>
    <n v="17279.419999999998"/>
    <n v="13950"/>
    <n v="3329.4199999999983"/>
    <n v="0.19268123582851732"/>
  </r>
  <r>
    <s v="ORD00008"/>
    <s v="L00008"/>
    <x v="7"/>
    <x v="7"/>
    <x v="2"/>
    <s v="C0031"/>
    <x v="0"/>
    <n v="3"/>
    <n v="11889.76"/>
    <n v="0"/>
    <n v="9300"/>
    <n v="35669.279999999999"/>
    <n v="0"/>
    <n v="35669.279999999999"/>
    <n v="27900"/>
    <n v="7769.2799999999988"/>
    <n v="0.21781432089461852"/>
  </r>
  <r>
    <s v="ORD00009"/>
    <s v="L00009"/>
    <x v="8"/>
    <x v="8"/>
    <x v="3"/>
    <s v="C0093"/>
    <x v="0"/>
    <n v="2"/>
    <n v="13787.88"/>
    <n v="0.2"/>
    <n v="9500"/>
    <n v="27575.759999999998"/>
    <n v="5515.152"/>
    <n v="22060.608"/>
    <n v="19000"/>
    <n v="3060.6080000000002"/>
    <n v="0.13873633945175037"/>
  </r>
  <r>
    <s v="ORD00010"/>
    <s v="L00010"/>
    <x v="9"/>
    <x v="2"/>
    <x v="0"/>
    <s v="C0013"/>
    <x v="0"/>
    <n v="4"/>
    <n v="18592.419999999998"/>
    <n v="0.05"/>
    <n v="14600"/>
    <n v="74369.679999999993"/>
    <n v="3718.4839999999999"/>
    <n v="70651.195999999996"/>
    <n v="58400"/>
    <n v="12251.195999999996"/>
    <n v="0.17340394350861374"/>
  </r>
  <r>
    <s v="ORD00011"/>
    <s v="L00011"/>
    <x v="10"/>
    <x v="0"/>
    <x v="0"/>
    <s v="C0087"/>
    <x v="1"/>
    <n v="4"/>
    <n v="6484.94"/>
    <n v="0.15"/>
    <n v="4300"/>
    <n v="25939.759999999998"/>
    <n v="3890.9639999999995"/>
    <n v="22048.795999999998"/>
    <n v="17200"/>
    <n v="4848.7959999999985"/>
    <n v="0.21991205324771471"/>
  </r>
  <r>
    <s v="ORD00012"/>
    <s v="L00012"/>
    <x v="11"/>
    <x v="9"/>
    <x v="3"/>
    <s v="C0025"/>
    <x v="1"/>
    <n v="3"/>
    <n v="9389.4699999999993"/>
    <n v="0"/>
    <n v="7250"/>
    <n v="28168.409999999996"/>
    <n v="0"/>
    <n v="28168.409999999996"/>
    <n v="21750"/>
    <n v="6418.4099999999962"/>
    <n v="0.22785844142427625"/>
  </r>
  <r>
    <s v="ORD00013"/>
    <s v="L00013"/>
    <x v="12"/>
    <x v="10"/>
    <x v="3"/>
    <s v="C0036"/>
    <x v="0"/>
    <n v="2"/>
    <n v="2056.0100000000002"/>
    <n v="0.15"/>
    <n v="1350"/>
    <n v="4112.0200000000004"/>
    <n v="616.803"/>
    <n v="3495.2170000000006"/>
    <n v="2700"/>
    <n v="795.21700000000055"/>
    <n v="0.22751577369874329"/>
  </r>
  <r>
    <s v="ORD00014"/>
    <s v="L00014"/>
    <x v="13"/>
    <x v="2"/>
    <x v="0"/>
    <s v="C0007"/>
    <x v="1"/>
    <n v="4"/>
    <n v="18592.419999999998"/>
    <n v="0.2"/>
    <n v="14600"/>
    <n v="74369.679999999993"/>
    <n v="14873.936"/>
    <n v="59495.743999999992"/>
    <n v="58400"/>
    <n v="1095.7439999999915"/>
    <n v="1.8417182916478727E-2"/>
  </r>
  <r>
    <s v="ORD00015"/>
    <s v="L00015"/>
    <x v="14"/>
    <x v="11"/>
    <x v="4"/>
    <s v="C0062"/>
    <x v="1"/>
    <n v="2"/>
    <n v="5799.34"/>
    <n v="0.15"/>
    <n v="3800"/>
    <n v="11598.68"/>
    <n v="1739.8019999999999"/>
    <n v="9858.8780000000006"/>
    <n v="7600"/>
    <n v="2258.8780000000006"/>
    <n v="0.22912120425874025"/>
  </r>
  <r>
    <s v="ORD00016"/>
    <s v="L00016"/>
    <x v="15"/>
    <x v="12"/>
    <x v="4"/>
    <s v="C0001"/>
    <x v="0"/>
    <n v="1"/>
    <n v="11999.07"/>
    <n v="0.05"/>
    <n v="9550"/>
    <n v="11999.07"/>
    <n v="599.95349999999996"/>
    <n v="11399.1165"/>
    <n v="9550"/>
    <n v="1849.1165000000001"/>
    <n v="0.16221577347683042"/>
  </r>
  <r>
    <s v="ORD00017"/>
    <s v="L00017"/>
    <x v="16"/>
    <x v="13"/>
    <x v="2"/>
    <s v="C0085"/>
    <x v="0"/>
    <n v="3"/>
    <n v="19555.88"/>
    <n v="0.15"/>
    <n v="14200"/>
    <n v="58667.64"/>
    <n v="8800.1459999999988"/>
    <n v="49867.493999999999"/>
    <n v="42600"/>
    <n v="7267.4939999999988"/>
    <n v="0.14573609814842509"/>
  </r>
  <r>
    <s v="ORD00018"/>
    <s v="L00018"/>
    <x v="17"/>
    <x v="3"/>
    <x v="0"/>
    <s v="C0075"/>
    <x v="1"/>
    <n v="3"/>
    <n v="13204.06"/>
    <n v="0.05"/>
    <n v="11050"/>
    <n v="39612.18"/>
    <n v="1980.6090000000002"/>
    <n v="37631.571000000004"/>
    <n v="33150"/>
    <n v="4481.5710000000036"/>
    <n v="0.11909072305272621"/>
  </r>
  <r>
    <s v="ORD00019"/>
    <s v="L00019"/>
    <x v="18"/>
    <x v="14"/>
    <x v="2"/>
    <s v="C0062"/>
    <x v="1"/>
    <n v="1"/>
    <n v="9337.2199999999993"/>
    <n v="0"/>
    <n v="6050"/>
    <n v="9337.2199999999993"/>
    <n v="0"/>
    <n v="9337.2199999999993"/>
    <n v="6050"/>
    <n v="3287.2199999999993"/>
    <n v="0.35205553687285934"/>
  </r>
  <r>
    <s v="ORD00020"/>
    <s v="L00020"/>
    <x v="19"/>
    <x v="9"/>
    <x v="0"/>
    <s v="C0077"/>
    <x v="1"/>
    <n v="1"/>
    <n v="9389.4699999999993"/>
    <n v="0.05"/>
    <n v="7250"/>
    <n v="9389.4699999999993"/>
    <n v="469.4735"/>
    <n v="8919.9964999999993"/>
    <n v="7250"/>
    <n v="1669.9964999999993"/>
    <n v="0.18721941202555398"/>
  </r>
  <r>
    <s v="ORD00021"/>
    <s v="L00021"/>
    <x v="20"/>
    <x v="8"/>
    <x v="2"/>
    <s v="C0032"/>
    <x v="1"/>
    <n v="4"/>
    <n v="13787.88"/>
    <n v="0"/>
    <n v="9500"/>
    <n v="55151.519999999997"/>
    <n v="0"/>
    <n v="55151.519999999997"/>
    <n v="38000"/>
    <n v="17151.519999999997"/>
    <n v="0.31098907156140027"/>
  </r>
  <r>
    <s v="ORD00022"/>
    <s v="L00022"/>
    <x v="21"/>
    <x v="15"/>
    <x v="2"/>
    <s v="C0067"/>
    <x v="0"/>
    <n v="4"/>
    <n v="12048.66"/>
    <n v="0.2"/>
    <n v="9900"/>
    <n v="48194.64"/>
    <n v="9638.9279999999999"/>
    <n v="38555.712"/>
    <n v="39600"/>
    <n v="-1044.2880000000005"/>
    <n v="-2.7085169637121483E-2"/>
  </r>
  <r>
    <s v="ORD00023"/>
    <s v="L00023"/>
    <x v="22"/>
    <x v="16"/>
    <x v="3"/>
    <s v="C0034"/>
    <x v="0"/>
    <n v="2"/>
    <n v="10644.48"/>
    <n v="0.1"/>
    <n v="7050"/>
    <n v="21288.959999999999"/>
    <n v="2128.8960000000002"/>
    <n v="19160.063999999998"/>
    <n v="14100"/>
    <n v="5060.0639999999985"/>
    <n v="0.26409431617764945"/>
  </r>
  <r>
    <s v="ORD00024"/>
    <s v="L00024"/>
    <x v="23"/>
    <x v="3"/>
    <x v="0"/>
    <s v="C0002"/>
    <x v="0"/>
    <n v="4"/>
    <n v="13204.06"/>
    <n v="0.1"/>
    <n v="11050"/>
    <n v="52816.24"/>
    <n v="5281.6239999999998"/>
    <n v="47534.615999999995"/>
    <n v="44200"/>
    <n v="3334.6159999999945"/>
    <n v="7.0151318777877475E-2"/>
  </r>
  <r>
    <s v="ORD00025"/>
    <s v="L00025"/>
    <x v="24"/>
    <x v="15"/>
    <x v="3"/>
    <s v="C0065"/>
    <x v="0"/>
    <n v="1"/>
    <n v="12048.66"/>
    <n v="0.2"/>
    <n v="9900"/>
    <n v="12048.66"/>
    <n v="2409.732"/>
    <n v="9638.9279999999999"/>
    <n v="9900"/>
    <n v="-261.07200000000012"/>
    <n v="-2.7085169637121483E-2"/>
  </r>
  <r>
    <s v="ORD00026"/>
    <s v="L00026"/>
    <x v="25"/>
    <x v="3"/>
    <x v="1"/>
    <s v="C0037"/>
    <x v="1"/>
    <n v="1"/>
    <n v="13204.06"/>
    <n v="0.05"/>
    <n v="11050"/>
    <n v="13204.06"/>
    <n v="660.20299999999997"/>
    <n v="12543.857"/>
    <n v="11050"/>
    <n v="1493.857"/>
    <n v="0.11909072305272612"/>
  </r>
  <r>
    <s v="ORD00027"/>
    <s v="L00027"/>
    <x v="26"/>
    <x v="17"/>
    <x v="0"/>
    <s v="C0086"/>
    <x v="0"/>
    <n v="5"/>
    <n v="10868.14"/>
    <n v="0.2"/>
    <n v="8850"/>
    <n v="54340.7"/>
    <n v="10868.14"/>
    <n v="43472.56"/>
    <n v="44250"/>
    <n v="-777.44000000000233"/>
    <n v="-1.7883464879915108E-2"/>
  </r>
  <r>
    <s v="ORD00028"/>
    <s v="L00028"/>
    <x v="27"/>
    <x v="16"/>
    <x v="0"/>
    <s v="C0014"/>
    <x v="1"/>
    <n v="2"/>
    <n v="10644.48"/>
    <n v="0.1"/>
    <n v="7050"/>
    <n v="21288.959999999999"/>
    <n v="2128.8960000000002"/>
    <n v="19160.063999999998"/>
    <n v="14100"/>
    <n v="5060.0639999999985"/>
    <n v="0.26409431617764945"/>
  </r>
  <r>
    <s v="ORD00029"/>
    <s v="L00029"/>
    <x v="28"/>
    <x v="13"/>
    <x v="1"/>
    <s v="C0027"/>
    <x v="0"/>
    <n v="5"/>
    <n v="19555.88"/>
    <n v="0.05"/>
    <n v="14200"/>
    <n v="97779.400000000009"/>
    <n v="4888.97"/>
    <n v="92890.430000000008"/>
    <n v="71000"/>
    <n v="21890.430000000008"/>
    <n v="0.23565861413280148"/>
  </r>
  <r>
    <s v="ORD00030"/>
    <s v="L00030"/>
    <x v="29"/>
    <x v="18"/>
    <x v="0"/>
    <s v="C0082"/>
    <x v="0"/>
    <n v="3"/>
    <n v="13246.95"/>
    <n v="0"/>
    <n v="9050"/>
    <n v="39740.850000000006"/>
    <n v="0"/>
    <n v="39740.850000000006"/>
    <n v="27150"/>
    <n v="12590.850000000006"/>
    <n v="0.31682387266502865"/>
  </r>
  <r>
    <s v="ORD00031"/>
    <s v="L00031"/>
    <x v="30"/>
    <x v="19"/>
    <x v="1"/>
    <s v="C0099"/>
    <x v="1"/>
    <n v="1"/>
    <n v="17523.439999999999"/>
    <n v="0"/>
    <n v="11850"/>
    <n v="17523.439999999999"/>
    <n v="0"/>
    <n v="17523.439999999999"/>
    <n v="11850"/>
    <n v="5673.4399999999987"/>
    <n v="0.32376291413101532"/>
  </r>
  <r>
    <s v="ORD00032"/>
    <s v="L00032"/>
    <x v="31"/>
    <x v="20"/>
    <x v="2"/>
    <s v="C0091"/>
    <x v="0"/>
    <n v="2"/>
    <n v="12166.11"/>
    <n v="0.15"/>
    <n v="7750"/>
    <n v="24332.22"/>
    <n v="3649.8330000000001"/>
    <n v="20682.387000000002"/>
    <n v="15500"/>
    <n v="5182.3870000000024"/>
    <n v="0.25057006234338436"/>
  </r>
  <r>
    <s v="ORD00033"/>
    <s v="L00033"/>
    <x v="32"/>
    <x v="10"/>
    <x v="3"/>
    <s v="C0070"/>
    <x v="1"/>
    <n v="1"/>
    <n v="2056.0100000000002"/>
    <n v="0"/>
    <n v="1350"/>
    <n v="2056.0100000000002"/>
    <n v="0"/>
    <n v="2056.0100000000002"/>
    <n v="1350"/>
    <n v="706.01000000000022"/>
    <n v="0.34338840764393175"/>
  </r>
  <r>
    <s v="ORD00034"/>
    <s v="L00034"/>
    <x v="33"/>
    <x v="19"/>
    <x v="3"/>
    <s v="C0056"/>
    <x v="1"/>
    <n v="5"/>
    <n v="17523.439999999999"/>
    <n v="0.2"/>
    <n v="11850"/>
    <n v="87617.2"/>
    <n v="17523.439999999999"/>
    <n v="70093.759999999995"/>
    <n v="59250"/>
    <n v="10843.759999999995"/>
    <n v="0.15470364266376915"/>
  </r>
  <r>
    <s v="ORD00035"/>
    <s v="L00035"/>
    <x v="34"/>
    <x v="9"/>
    <x v="1"/>
    <s v="C0027"/>
    <x v="1"/>
    <n v="3"/>
    <n v="9389.4699999999993"/>
    <n v="0"/>
    <n v="7250"/>
    <n v="28168.409999999996"/>
    <n v="0"/>
    <n v="28168.409999999996"/>
    <n v="21750"/>
    <n v="6418.4099999999962"/>
    <n v="0.22785844142427625"/>
  </r>
  <r>
    <s v="ORD00036"/>
    <s v="L00036"/>
    <x v="35"/>
    <x v="8"/>
    <x v="4"/>
    <s v="C0080"/>
    <x v="1"/>
    <n v="3"/>
    <n v="13787.88"/>
    <n v="0.2"/>
    <n v="9500"/>
    <n v="41363.64"/>
    <n v="8272.728000000001"/>
    <n v="33090.911999999997"/>
    <n v="28500"/>
    <n v="4590.9119999999966"/>
    <n v="0.13873633945175029"/>
  </r>
  <r>
    <s v="ORD00037"/>
    <s v="L00037"/>
    <x v="14"/>
    <x v="16"/>
    <x v="4"/>
    <s v="C0004"/>
    <x v="1"/>
    <n v="2"/>
    <n v="10644.48"/>
    <n v="0.05"/>
    <n v="7050"/>
    <n v="21288.959999999999"/>
    <n v="1064.4480000000001"/>
    <n v="20224.511999999999"/>
    <n v="14100"/>
    <n v="6124.5119999999988"/>
    <n v="0.30282619427356267"/>
  </r>
  <r>
    <s v="ORD00038"/>
    <s v="L00038"/>
    <x v="36"/>
    <x v="14"/>
    <x v="1"/>
    <s v="C0021"/>
    <x v="1"/>
    <n v="4"/>
    <n v="9337.2199999999993"/>
    <n v="0.05"/>
    <n v="6050"/>
    <n v="37348.879999999997"/>
    <n v="1867.444"/>
    <n v="35481.435999999994"/>
    <n v="24200"/>
    <n v="11281.435999999994"/>
    <n v="0.31795319670827293"/>
  </r>
  <r>
    <s v="ORD00039"/>
    <s v="L00039"/>
    <x v="37"/>
    <x v="21"/>
    <x v="3"/>
    <s v="C0059"/>
    <x v="0"/>
    <n v="4"/>
    <n v="11729.87"/>
    <n v="0.05"/>
    <n v="8950"/>
    <n v="46919.48"/>
    <n v="2345.9740000000002"/>
    <n v="44573.506000000001"/>
    <n v="35800"/>
    <n v="8773.5060000000012"/>
    <n v="0.19683230661729864"/>
  </r>
  <r>
    <s v="ORD00040"/>
    <s v="L00040"/>
    <x v="38"/>
    <x v="22"/>
    <x v="3"/>
    <s v="C0052"/>
    <x v="0"/>
    <n v="2"/>
    <n v="17046.37"/>
    <n v="0"/>
    <n v="11700"/>
    <n v="34092.74"/>
    <n v="0"/>
    <n v="34092.74"/>
    <n v="23400"/>
    <n v="10692.739999999998"/>
    <n v="0.31363686227624998"/>
  </r>
  <r>
    <s v="ORD00041"/>
    <s v="L00041"/>
    <x v="39"/>
    <x v="13"/>
    <x v="2"/>
    <s v="C0052"/>
    <x v="0"/>
    <n v="3"/>
    <n v="19555.88"/>
    <n v="0.1"/>
    <n v="14200"/>
    <n v="58667.64"/>
    <n v="5866.7640000000001"/>
    <n v="52800.875999999997"/>
    <n v="42600"/>
    <n v="10200.875999999997"/>
    <n v="0.19319520380684588"/>
  </r>
  <r>
    <s v="ORD00042"/>
    <s v="L00042"/>
    <x v="40"/>
    <x v="23"/>
    <x v="2"/>
    <s v="C0034"/>
    <x v="1"/>
    <n v="3"/>
    <n v="3694.44"/>
    <n v="0.05"/>
    <n v="3100"/>
    <n v="11083.32"/>
    <n v="554.16600000000005"/>
    <n v="10529.154"/>
    <n v="9300"/>
    <n v="1229.1540000000005"/>
    <n v="0.11673815389156625"/>
  </r>
  <r>
    <s v="ORD00043"/>
    <s v="L00043"/>
    <x v="41"/>
    <x v="5"/>
    <x v="4"/>
    <s v="C0078"/>
    <x v="1"/>
    <n v="3"/>
    <n v="17336.23"/>
    <n v="0.1"/>
    <n v="14200"/>
    <n v="52008.69"/>
    <n v="5200.8690000000006"/>
    <n v="46807.821000000004"/>
    <n v="42600"/>
    <n v="4207.8210000000036"/>
    <n v="8.9895682176702976E-2"/>
  </r>
  <r>
    <s v="ORD00044"/>
    <s v="L00044"/>
    <x v="17"/>
    <x v="21"/>
    <x v="4"/>
    <s v="C0001"/>
    <x v="1"/>
    <n v="3"/>
    <n v="11729.87"/>
    <n v="0"/>
    <n v="8950"/>
    <n v="35189.61"/>
    <n v="0"/>
    <n v="35189.61"/>
    <n v="26850"/>
    <n v="8339.61"/>
    <n v="0.23699069128643371"/>
  </r>
  <r>
    <s v="ORD00045"/>
    <s v="L00045"/>
    <x v="42"/>
    <x v="0"/>
    <x v="2"/>
    <s v="C0041"/>
    <x v="1"/>
    <n v="1"/>
    <n v="6484.94"/>
    <n v="0.1"/>
    <n v="4300"/>
    <n v="6484.94"/>
    <n v="648.49400000000003"/>
    <n v="5836.4459999999999"/>
    <n v="4300"/>
    <n v="1536.4459999999999"/>
    <n v="0.26325027251173061"/>
  </r>
  <r>
    <s v="ORD00046"/>
    <s v="L00046"/>
    <x v="23"/>
    <x v="14"/>
    <x v="4"/>
    <s v="C0042"/>
    <x v="0"/>
    <n v="5"/>
    <n v="9337.2199999999993"/>
    <n v="0.1"/>
    <n v="6050"/>
    <n v="46686.1"/>
    <n v="4668.6099999999997"/>
    <n v="42017.49"/>
    <n v="30250"/>
    <n v="11767.489999999998"/>
    <n v="0.28006170763651039"/>
  </r>
  <r>
    <s v="ORD00047"/>
    <s v="L00047"/>
    <x v="43"/>
    <x v="24"/>
    <x v="3"/>
    <s v="C0054"/>
    <x v="0"/>
    <n v="5"/>
    <n v="2403.0700000000002"/>
    <n v="0.05"/>
    <n v="2000"/>
    <n v="12015.35"/>
    <n v="600.76750000000004"/>
    <n v="11414.5825"/>
    <n v="10000"/>
    <n v="1414.5825000000004"/>
    <n v="0.12392766007867571"/>
  </r>
  <r>
    <s v="ORD00048"/>
    <s v="L00048"/>
    <x v="44"/>
    <x v="8"/>
    <x v="1"/>
    <s v="C0052"/>
    <x v="1"/>
    <n v="5"/>
    <n v="13787.88"/>
    <n v="0.2"/>
    <n v="9500"/>
    <n v="68939.399999999994"/>
    <n v="13787.88"/>
    <n v="55151.519999999997"/>
    <n v="47500"/>
    <n v="7651.5199999999968"/>
    <n v="0.13873633945175032"/>
  </r>
  <r>
    <s v="ORD00049"/>
    <s v="L00049"/>
    <x v="45"/>
    <x v="22"/>
    <x v="2"/>
    <s v="C0078"/>
    <x v="0"/>
    <n v="2"/>
    <n v="17046.37"/>
    <n v="0.15"/>
    <n v="11700"/>
    <n v="34092.74"/>
    <n v="5113.9109999999991"/>
    <n v="28978.828999999998"/>
    <n v="23400"/>
    <n v="5578.8289999999979"/>
    <n v="0.1925139556191176"/>
  </r>
  <r>
    <s v="ORD00050"/>
    <s v="L00050"/>
    <x v="46"/>
    <x v="17"/>
    <x v="2"/>
    <s v="C0061"/>
    <x v="1"/>
    <n v="4"/>
    <n v="10868.14"/>
    <n v="0.05"/>
    <n v="8850"/>
    <n v="43472.56"/>
    <n v="2173.6280000000002"/>
    <n v="41298.932000000001"/>
    <n v="35400"/>
    <n v="5898.9320000000007"/>
    <n v="0.14283497694322944"/>
  </r>
  <r>
    <s v="ORD00051"/>
    <s v="L00051"/>
    <x v="47"/>
    <x v="8"/>
    <x v="2"/>
    <s v="C0043"/>
    <x v="1"/>
    <n v="3"/>
    <n v="13787.88"/>
    <n v="0.2"/>
    <n v="9500"/>
    <n v="41363.64"/>
    <n v="8272.728000000001"/>
    <n v="33090.911999999997"/>
    <n v="28500"/>
    <n v="4590.9119999999966"/>
    <n v="0.13873633945175029"/>
  </r>
  <r>
    <s v="ORD00052"/>
    <s v="L00052"/>
    <x v="20"/>
    <x v="19"/>
    <x v="3"/>
    <s v="C0019"/>
    <x v="1"/>
    <n v="3"/>
    <n v="17523.439999999999"/>
    <n v="0.05"/>
    <n v="11850"/>
    <n v="52570.319999999992"/>
    <n v="2628.5159999999996"/>
    <n v="49941.803999999989"/>
    <n v="35550"/>
    <n v="14391.803999999989"/>
    <n v="0.28817148855896341"/>
  </r>
  <r>
    <s v="ORD00053"/>
    <s v="L00053"/>
    <x v="48"/>
    <x v="9"/>
    <x v="0"/>
    <s v="C0059"/>
    <x v="0"/>
    <n v="4"/>
    <n v="9389.4699999999993"/>
    <n v="0.2"/>
    <n v="7250"/>
    <n v="37557.879999999997"/>
    <n v="7511.576"/>
    <n v="30046.303999999996"/>
    <n v="29000"/>
    <n v="1046.3039999999964"/>
    <n v="3.4823051780345317E-2"/>
  </r>
  <r>
    <s v="ORD00054"/>
    <s v="L00054"/>
    <x v="49"/>
    <x v="7"/>
    <x v="4"/>
    <s v="C0032"/>
    <x v="1"/>
    <n v="4"/>
    <n v="11889.76"/>
    <n v="0.15"/>
    <n v="9300"/>
    <n v="47559.040000000001"/>
    <n v="7133.8559999999998"/>
    <n v="40425.184000000001"/>
    <n v="37200"/>
    <n v="3225.1840000000011"/>
    <n v="7.9781553993668916E-2"/>
  </r>
  <r>
    <s v="ORD00055"/>
    <s v="L00055"/>
    <x v="50"/>
    <x v="20"/>
    <x v="3"/>
    <s v="C0023"/>
    <x v="0"/>
    <n v="1"/>
    <n v="12166.11"/>
    <n v="0.15"/>
    <n v="7750"/>
    <n v="12166.11"/>
    <n v="1824.9165"/>
    <n v="10341.193500000001"/>
    <n v="7750"/>
    <n v="2591.1935000000012"/>
    <n v="0.25057006234338436"/>
  </r>
  <r>
    <s v="ORD00056"/>
    <s v="L00056"/>
    <x v="51"/>
    <x v="9"/>
    <x v="3"/>
    <s v="C0060"/>
    <x v="0"/>
    <n v="1"/>
    <n v="9389.4699999999993"/>
    <n v="0.15"/>
    <n v="7250"/>
    <n v="9389.4699999999993"/>
    <n v="1408.4204999999999"/>
    <n v="7981.0494999999992"/>
    <n v="7250"/>
    <n v="731.04949999999917"/>
    <n v="9.1598166381501492E-2"/>
  </r>
  <r>
    <s v="ORD00057"/>
    <s v="L00057"/>
    <x v="52"/>
    <x v="25"/>
    <x v="4"/>
    <s v="C0071"/>
    <x v="0"/>
    <n v="5"/>
    <n v="3559.5"/>
    <n v="0.2"/>
    <n v="2250"/>
    <n v="17797.5"/>
    <n v="3559.5"/>
    <n v="14238"/>
    <n v="11250"/>
    <n v="2988"/>
    <n v="0.20986093552465235"/>
  </r>
  <r>
    <s v="ORD00058"/>
    <s v="L00058"/>
    <x v="53"/>
    <x v="7"/>
    <x v="1"/>
    <s v="C0097"/>
    <x v="1"/>
    <n v="4"/>
    <n v="11889.76"/>
    <n v="0.15"/>
    <n v="9300"/>
    <n v="47559.040000000001"/>
    <n v="7133.8559999999998"/>
    <n v="40425.184000000001"/>
    <n v="37200"/>
    <n v="3225.1840000000011"/>
    <n v="7.9781553993668916E-2"/>
  </r>
  <r>
    <s v="ORD00059"/>
    <s v="L00059"/>
    <x v="30"/>
    <x v="19"/>
    <x v="3"/>
    <s v="C0036"/>
    <x v="0"/>
    <n v="5"/>
    <n v="17523.439999999999"/>
    <n v="0.15"/>
    <n v="11850"/>
    <n v="87617.2"/>
    <n v="13142.58"/>
    <n v="74474.62"/>
    <n v="59250"/>
    <n v="15224.619999999995"/>
    <n v="0.20442695780119449"/>
  </r>
  <r>
    <s v="ORD00060"/>
    <s v="L00060"/>
    <x v="54"/>
    <x v="11"/>
    <x v="1"/>
    <s v="C0041"/>
    <x v="1"/>
    <n v="2"/>
    <n v="5799.34"/>
    <n v="0.1"/>
    <n v="3800"/>
    <n v="11598.68"/>
    <n v="1159.8680000000002"/>
    <n v="10438.812"/>
    <n v="7600"/>
    <n v="2838.8119999999999"/>
    <n v="0.27194780402214352"/>
  </r>
  <r>
    <s v="ORD00061"/>
    <s v="L00061"/>
    <x v="55"/>
    <x v="3"/>
    <x v="3"/>
    <s v="C0091"/>
    <x v="1"/>
    <n v="2"/>
    <n v="13204.06"/>
    <n v="0.15"/>
    <n v="11050"/>
    <n v="26408.12"/>
    <n v="3961.2179999999998"/>
    <n v="22446.901999999998"/>
    <n v="22100"/>
    <n v="346.90199999999822"/>
    <n v="1.5454337529517359E-2"/>
  </r>
  <r>
    <s v="ORD00062"/>
    <s v="L00062"/>
    <x v="56"/>
    <x v="11"/>
    <x v="2"/>
    <s v="C0060"/>
    <x v="0"/>
    <n v="4"/>
    <n v="5799.34"/>
    <n v="0.1"/>
    <n v="3800"/>
    <n v="23197.360000000001"/>
    <n v="2319.7360000000003"/>
    <n v="20877.624"/>
    <n v="15200"/>
    <n v="5677.6239999999998"/>
    <n v="0.27194780402214352"/>
  </r>
  <r>
    <s v="ORD00063"/>
    <s v="L00063"/>
    <x v="57"/>
    <x v="9"/>
    <x v="2"/>
    <s v="C0090"/>
    <x v="1"/>
    <n v="4"/>
    <n v="9389.4699999999993"/>
    <n v="0.15"/>
    <n v="7250"/>
    <n v="37557.879999999997"/>
    <n v="5633.6819999999998"/>
    <n v="31924.197999999997"/>
    <n v="29000"/>
    <n v="2924.1979999999967"/>
    <n v="9.1598166381501492E-2"/>
  </r>
  <r>
    <s v="ORD00064"/>
    <s v="L00064"/>
    <x v="58"/>
    <x v="12"/>
    <x v="1"/>
    <s v="C0039"/>
    <x v="0"/>
    <n v="4"/>
    <n v="11999.07"/>
    <n v="0"/>
    <n v="9550"/>
    <n v="47996.28"/>
    <n v="0"/>
    <n v="47996.28"/>
    <n v="38200"/>
    <n v="9796.2799999999988"/>
    <n v="0.20410498480298889"/>
  </r>
  <r>
    <s v="ORD00065"/>
    <s v="L00065"/>
    <x v="59"/>
    <x v="12"/>
    <x v="2"/>
    <s v="C0029"/>
    <x v="0"/>
    <n v="5"/>
    <n v="11999.07"/>
    <n v="0.2"/>
    <n v="9550"/>
    <n v="59995.35"/>
    <n v="11999.07"/>
    <n v="47996.28"/>
    <n v="47750"/>
    <n v="246.27999999999884"/>
    <n v="5.1312310037360991E-3"/>
  </r>
  <r>
    <s v="ORD00066"/>
    <s v="L00066"/>
    <x v="60"/>
    <x v="2"/>
    <x v="0"/>
    <s v="C0050"/>
    <x v="0"/>
    <n v="4"/>
    <n v="18592.419999999998"/>
    <n v="0.15"/>
    <n v="14600"/>
    <n v="74369.679999999993"/>
    <n v="11155.451999999999"/>
    <n v="63214.227999999996"/>
    <n v="58400"/>
    <n v="4814.2279999999955"/>
    <n v="7.6157348627274163E-2"/>
  </r>
  <r>
    <s v="ORD00067"/>
    <s v="L00067"/>
    <x v="61"/>
    <x v="8"/>
    <x v="3"/>
    <s v="C0080"/>
    <x v="1"/>
    <n v="2"/>
    <n v="13787.88"/>
    <n v="0.15"/>
    <n v="9500"/>
    <n v="27575.759999999998"/>
    <n v="4136.3639999999996"/>
    <n v="23439.396000000001"/>
    <n v="19000"/>
    <n v="4439.3960000000006"/>
    <n v="0.18939890771929449"/>
  </r>
  <r>
    <s v="ORD00068"/>
    <s v="L00068"/>
    <x v="62"/>
    <x v="16"/>
    <x v="0"/>
    <s v="C0011"/>
    <x v="0"/>
    <n v="5"/>
    <n v="10644.48"/>
    <n v="0.2"/>
    <n v="7050"/>
    <n v="53222.399999999994"/>
    <n v="10644.48"/>
    <n v="42577.919999999998"/>
    <n v="35250"/>
    <n v="7327.9199999999983"/>
    <n v="0.17210610569985565"/>
  </r>
  <r>
    <s v="ORD00069"/>
    <s v="L00069"/>
    <x v="63"/>
    <x v="3"/>
    <x v="1"/>
    <s v="C0049"/>
    <x v="0"/>
    <n v="2"/>
    <n v="13204.06"/>
    <n v="0"/>
    <n v="11050"/>
    <n v="26408.12"/>
    <n v="0"/>
    <n v="26408.12"/>
    <n v="22100"/>
    <n v="4308.119999999999"/>
    <n v="0.1631361869000898"/>
  </r>
  <r>
    <s v="ORD00070"/>
    <s v="L00070"/>
    <x v="16"/>
    <x v="4"/>
    <x v="4"/>
    <s v="C0036"/>
    <x v="0"/>
    <n v="3"/>
    <n v="19237.78"/>
    <n v="0.1"/>
    <n v="13150"/>
    <n v="57713.34"/>
    <n v="5771.3339999999998"/>
    <n v="51942.005999999994"/>
    <n v="39450"/>
    <n v="12492.005999999994"/>
    <n v="0.24049910586818682"/>
  </r>
  <r>
    <s v="ORD00071"/>
    <s v="L00071"/>
    <x v="21"/>
    <x v="13"/>
    <x v="2"/>
    <s v="C0007"/>
    <x v="0"/>
    <n v="4"/>
    <n v="19555.88"/>
    <n v="0"/>
    <n v="14200"/>
    <n v="78223.520000000004"/>
    <n v="0"/>
    <n v="78223.520000000004"/>
    <n v="56800"/>
    <n v="21423.520000000004"/>
    <n v="0.27387568342616136"/>
  </r>
  <r>
    <s v="ORD00072"/>
    <s v="L00072"/>
    <x v="64"/>
    <x v="2"/>
    <x v="3"/>
    <s v="C0026"/>
    <x v="1"/>
    <n v="1"/>
    <n v="18592.419999999998"/>
    <n v="0"/>
    <n v="14600"/>
    <n v="18592.419999999998"/>
    <n v="0"/>
    <n v="18592.419999999998"/>
    <n v="14600"/>
    <n v="3992.4199999999983"/>
    <n v="0.21473374633318301"/>
  </r>
  <r>
    <s v="ORD00073"/>
    <s v="L00073"/>
    <x v="65"/>
    <x v="15"/>
    <x v="4"/>
    <s v="C0086"/>
    <x v="1"/>
    <n v="2"/>
    <n v="12048.66"/>
    <n v="0.05"/>
    <n v="9900"/>
    <n v="24097.32"/>
    <n v="1204.866"/>
    <n v="22892.453999999998"/>
    <n v="19800"/>
    <n v="3092.4539999999979"/>
    <n v="0.1350861729371608"/>
  </r>
  <r>
    <s v="ORD00074"/>
    <s v="L00074"/>
    <x v="66"/>
    <x v="6"/>
    <x v="1"/>
    <s v="C0022"/>
    <x v="1"/>
    <n v="4"/>
    <n v="17279.419999999998"/>
    <n v="0.1"/>
    <n v="13950"/>
    <n v="69117.679999999993"/>
    <n v="6911.768"/>
    <n v="62205.911999999997"/>
    <n v="55800"/>
    <n v="6405.9119999999966"/>
    <n v="0.10297915092057483"/>
  </r>
  <r>
    <s v="ORD00075"/>
    <s v="L00075"/>
    <x v="67"/>
    <x v="25"/>
    <x v="2"/>
    <s v="C0004"/>
    <x v="0"/>
    <n v="3"/>
    <n v="3559.5"/>
    <n v="0"/>
    <n v="2250"/>
    <n v="10678.5"/>
    <n v="0"/>
    <n v="10678.5"/>
    <n v="6750"/>
    <n v="3928.5"/>
    <n v="0.36788874841972186"/>
  </r>
  <r>
    <s v="ORD00076"/>
    <s v="L00076"/>
    <x v="68"/>
    <x v="6"/>
    <x v="0"/>
    <s v="C0076"/>
    <x v="1"/>
    <n v="4"/>
    <n v="17279.419999999998"/>
    <n v="0.05"/>
    <n v="13950"/>
    <n v="69117.679999999993"/>
    <n v="3455.884"/>
    <n v="65661.795999999988"/>
    <n v="55800"/>
    <n v="9861.7959999999875"/>
    <n v="0.15019077455633392"/>
  </r>
  <r>
    <s v="ORD00077"/>
    <s v="L00077"/>
    <x v="69"/>
    <x v="5"/>
    <x v="2"/>
    <s v="C0006"/>
    <x v="0"/>
    <n v="5"/>
    <n v="17336.23"/>
    <n v="0"/>
    <n v="14200"/>
    <n v="86681.15"/>
    <n v="0"/>
    <n v="86681.15"/>
    <n v="71000"/>
    <n v="15681.149999999994"/>
    <n v="0.18090611395903256"/>
  </r>
  <r>
    <s v="ORD00078"/>
    <s v="L00078"/>
    <x v="70"/>
    <x v="10"/>
    <x v="2"/>
    <s v="C0083"/>
    <x v="0"/>
    <n v="3"/>
    <n v="2056.0100000000002"/>
    <n v="0"/>
    <n v="1350"/>
    <n v="6168.0300000000007"/>
    <n v="0"/>
    <n v="6168.0300000000007"/>
    <n v="4050"/>
    <n v="2118.0300000000007"/>
    <n v="0.34338840764393175"/>
  </r>
  <r>
    <s v="ORD00079"/>
    <s v="L00079"/>
    <x v="71"/>
    <x v="23"/>
    <x v="4"/>
    <s v="C0047"/>
    <x v="0"/>
    <n v="4"/>
    <n v="3694.44"/>
    <n v="0"/>
    <n v="3100"/>
    <n v="14777.76"/>
    <n v="0"/>
    <n v="14777.76"/>
    <n v="12400"/>
    <n v="2377.7600000000002"/>
    <n v="0.16090124619698792"/>
  </r>
  <r>
    <s v="ORD00080"/>
    <s v="L00080"/>
    <x v="65"/>
    <x v="24"/>
    <x v="2"/>
    <s v="C0084"/>
    <x v="0"/>
    <n v="4"/>
    <n v="2403.0700000000002"/>
    <n v="0.05"/>
    <n v="2000"/>
    <n v="9612.2800000000007"/>
    <n v="480.61400000000003"/>
    <n v="9131.6660000000011"/>
    <n v="8000"/>
    <n v="1131.6660000000011"/>
    <n v="0.12392766007867578"/>
  </r>
  <r>
    <s v="ORD00081"/>
    <s v="L00081"/>
    <x v="72"/>
    <x v="15"/>
    <x v="2"/>
    <s v="C0035"/>
    <x v="0"/>
    <n v="4"/>
    <n v="12048.66"/>
    <n v="0.15"/>
    <n v="9900"/>
    <n v="48194.64"/>
    <n v="7229.1959999999999"/>
    <n v="40965.444000000003"/>
    <n v="39600"/>
    <n v="1365.4440000000031"/>
    <n v="3.3331605047415162E-2"/>
  </r>
  <r>
    <s v="ORD00082"/>
    <s v="L00082"/>
    <x v="73"/>
    <x v="12"/>
    <x v="4"/>
    <s v="C0032"/>
    <x v="0"/>
    <n v="1"/>
    <n v="11999.07"/>
    <n v="0.1"/>
    <n v="9550"/>
    <n v="11999.07"/>
    <n v="1199.9069999999999"/>
    <n v="10799.163"/>
    <n v="9550"/>
    <n v="1249.1630000000005"/>
    <n v="0.11567220533665437"/>
  </r>
  <r>
    <s v="ORD00083"/>
    <s v="L00083"/>
    <x v="74"/>
    <x v="6"/>
    <x v="4"/>
    <s v="C0042"/>
    <x v="1"/>
    <n v="3"/>
    <n v="17279.419999999998"/>
    <n v="0"/>
    <n v="13950"/>
    <n v="51838.259999999995"/>
    <n v="0"/>
    <n v="51838.259999999995"/>
    <n v="41850"/>
    <n v="9988.2599999999948"/>
    <n v="0.19268123582851732"/>
  </r>
  <r>
    <s v="ORD00084"/>
    <s v="L00084"/>
    <x v="75"/>
    <x v="1"/>
    <x v="1"/>
    <s v="C0036"/>
    <x v="0"/>
    <n v="3"/>
    <n v="12193.29"/>
    <n v="0.1"/>
    <n v="9950"/>
    <n v="36579.870000000003"/>
    <n v="3657.9870000000005"/>
    <n v="32921.883000000002"/>
    <n v="29850"/>
    <n v="3071.8830000000016"/>
    <n v="9.3308241208438822E-2"/>
  </r>
  <r>
    <s v="ORD00085"/>
    <s v="L00085"/>
    <x v="76"/>
    <x v="10"/>
    <x v="0"/>
    <s v="C0031"/>
    <x v="0"/>
    <n v="5"/>
    <n v="2056.0100000000002"/>
    <n v="0.05"/>
    <n v="1350"/>
    <n v="10280.050000000001"/>
    <n v="514.00250000000005"/>
    <n v="9766.0475000000006"/>
    <n v="6750"/>
    <n v="3016.0475000000006"/>
    <n v="0.30882990278308603"/>
  </r>
  <r>
    <s v="ORD00086"/>
    <s v="L00086"/>
    <x v="77"/>
    <x v="1"/>
    <x v="4"/>
    <s v="C0003"/>
    <x v="1"/>
    <n v="4"/>
    <n v="12193.29"/>
    <n v="0.15"/>
    <n v="9950"/>
    <n v="48773.16"/>
    <n v="7315.9740000000002"/>
    <n v="41457.186000000002"/>
    <n v="39800"/>
    <n v="1657.1860000000015"/>
    <n v="3.9973431867758737E-2"/>
  </r>
  <r>
    <s v="ORD00087"/>
    <s v="L00087"/>
    <x v="78"/>
    <x v="22"/>
    <x v="1"/>
    <s v="C0085"/>
    <x v="0"/>
    <n v="4"/>
    <n v="17046.37"/>
    <n v="0.05"/>
    <n v="11700"/>
    <n v="68185.48"/>
    <n v="3409.2739999999999"/>
    <n v="64776.205999999998"/>
    <n v="46800"/>
    <n v="17976.205999999998"/>
    <n v="0.27751248660657896"/>
  </r>
  <r>
    <s v="ORD00088"/>
    <s v="L00088"/>
    <x v="79"/>
    <x v="1"/>
    <x v="1"/>
    <s v="C0046"/>
    <x v="0"/>
    <n v="4"/>
    <n v="12193.29"/>
    <n v="0.2"/>
    <n v="9950"/>
    <n v="48773.16"/>
    <n v="9754.6320000000014"/>
    <n v="39018.528000000006"/>
    <n v="39800"/>
    <n v="-781.4719999999943"/>
    <n v="-2.0028228640506227E-2"/>
  </r>
  <r>
    <s v="ORD00089"/>
    <s v="L00089"/>
    <x v="80"/>
    <x v="13"/>
    <x v="0"/>
    <s v="C0093"/>
    <x v="1"/>
    <n v="3"/>
    <n v="19555.88"/>
    <n v="0.05"/>
    <n v="14200"/>
    <n v="58667.64"/>
    <n v="2933.3820000000001"/>
    <n v="55734.258000000002"/>
    <n v="42600"/>
    <n v="13134.258000000002"/>
    <n v="0.23565861413280143"/>
  </r>
  <r>
    <s v="ORD00090"/>
    <s v="L00090"/>
    <x v="81"/>
    <x v="26"/>
    <x v="3"/>
    <s v="C0028"/>
    <x v="0"/>
    <n v="5"/>
    <n v="614.66"/>
    <n v="0.05"/>
    <n v="400"/>
    <n v="3073.2999999999997"/>
    <n v="153.66499999999999"/>
    <n v="2919.6349999999998"/>
    <n v="2000"/>
    <n v="919.63499999999976"/>
    <n v="0.31498286600893599"/>
  </r>
  <r>
    <s v="ORD00091"/>
    <s v="L00091"/>
    <x v="82"/>
    <x v="13"/>
    <x v="0"/>
    <s v="C0025"/>
    <x v="0"/>
    <n v="5"/>
    <n v="19555.88"/>
    <n v="0.1"/>
    <n v="14200"/>
    <n v="97779.400000000009"/>
    <n v="9777.94"/>
    <n v="88001.46"/>
    <n v="71000"/>
    <n v="17001.460000000006"/>
    <n v="0.19319520380684599"/>
  </r>
  <r>
    <s v="ORD00092"/>
    <s v="L00092"/>
    <x v="83"/>
    <x v="2"/>
    <x v="0"/>
    <s v="C0091"/>
    <x v="1"/>
    <n v="2"/>
    <n v="18592.419999999998"/>
    <n v="0.1"/>
    <n v="14600"/>
    <n v="37184.839999999997"/>
    <n v="3718.4839999999999"/>
    <n v="33466.356"/>
    <n v="29200"/>
    <n v="4266.3559999999998"/>
    <n v="0.12748194037020344"/>
  </r>
  <r>
    <s v="ORD00093"/>
    <s v="L00093"/>
    <x v="84"/>
    <x v="13"/>
    <x v="1"/>
    <s v="C0090"/>
    <x v="1"/>
    <n v="1"/>
    <n v="19555.88"/>
    <n v="0.2"/>
    <n v="14200"/>
    <n v="19555.88"/>
    <n v="3911.1760000000004"/>
    <n v="15644.704000000002"/>
    <n v="14200"/>
    <n v="1444.7040000000015"/>
    <n v="9.2344604282701762E-2"/>
  </r>
  <r>
    <s v="ORD00094"/>
    <s v="L00094"/>
    <x v="85"/>
    <x v="20"/>
    <x v="2"/>
    <s v="C0037"/>
    <x v="0"/>
    <n v="1"/>
    <n v="12166.11"/>
    <n v="0"/>
    <n v="7750"/>
    <n v="12166.11"/>
    <n v="0"/>
    <n v="12166.11"/>
    <n v="7750"/>
    <n v="4416.1100000000006"/>
    <n v="0.36298455299187665"/>
  </r>
  <r>
    <s v="ORD00095"/>
    <s v="L00095"/>
    <x v="86"/>
    <x v="1"/>
    <x v="0"/>
    <s v="C0033"/>
    <x v="0"/>
    <n v="3"/>
    <n v="12193.29"/>
    <n v="0.05"/>
    <n v="9950"/>
    <n v="36579.870000000003"/>
    <n v="1828.9935000000003"/>
    <n v="34750.876500000006"/>
    <n v="29850"/>
    <n v="4900.8765000000058"/>
    <n v="0.1410288600922053"/>
  </r>
  <r>
    <s v="ORD00096"/>
    <s v="L00096"/>
    <x v="87"/>
    <x v="5"/>
    <x v="0"/>
    <s v="C0074"/>
    <x v="1"/>
    <n v="4"/>
    <n v="17336.23"/>
    <n v="0.15"/>
    <n v="14200"/>
    <n v="69344.92"/>
    <n v="10401.737999999999"/>
    <n v="58943.182000000001"/>
    <n v="56800"/>
    <n v="2143.1820000000007"/>
    <n v="3.6360134069450149E-2"/>
  </r>
  <r>
    <s v="ORD00097"/>
    <s v="L00097"/>
    <x v="88"/>
    <x v="3"/>
    <x v="0"/>
    <s v="C0032"/>
    <x v="1"/>
    <n v="5"/>
    <n v="13204.06"/>
    <n v="0.1"/>
    <n v="11050"/>
    <n v="66020.3"/>
    <n v="6602.0300000000007"/>
    <n v="59418.270000000004"/>
    <n v="55250"/>
    <n v="4168.2700000000041"/>
    <n v="7.0151318777877641E-2"/>
  </r>
  <r>
    <s v="ORD00098"/>
    <s v="L00098"/>
    <x v="89"/>
    <x v="10"/>
    <x v="2"/>
    <s v="C0029"/>
    <x v="0"/>
    <n v="5"/>
    <n v="2056.0100000000002"/>
    <n v="0.2"/>
    <n v="1350"/>
    <n v="10280.050000000001"/>
    <n v="2056.0100000000002"/>
    <n v="8224.0400000000009"/>
    <n v="6750"/>
    <n v="1474.0400000000009"/>
    <n v="0.17923550955491471"/>
  </r>
  <r>
    <s v="ORD00099"/>
    <s v="L00099"/>
    <x v="52"/>
    <x v="17"/>
    <x v="4"/>
    <s v="C0040"/>
    <x v="1"/>
    <n v="3"/>
    <n v="10868.14"/>
    <n v="0.2"/>
    <n v="8850"/>
    <n v="32604.42"/>
    <n v="6520.884"/>
    <n v="26083.536"/>
    <n v="26550"/>
    <n v="-466.46399999999994"/>
    <n v="-1.7883464879915052E-2"/>
  </r>
  <r>
    <s v="ORD00100"/>
    <s v="L00100"/>
    <x v="90"/>
    <x v="15"/>
    <x v="1"/>
    <s v="C0085"/>
    <x v="1"/>
    <n v="2"/>
    <n v="12048.66"/>
    <n v="0.05"/>
    <n v="9900"/>
    <n v="24097.32"/>
    <n v="1204.866"/>
    <n v="22892.453999999998"/>
    <n v="19800"/>
    <n v="3092.4539999999979"/>
    <n v="0.1350861729371608"/>
  </r>
  <r>
    <s v="ORD00101"/>
    <s v="L00101"/>
    <x v="91"/>
    <x v="27"/>
    <x v="0"/>
    <s v="C0021"/>
    <x v="1"/>
    <n v="2"/>
    <n v="3335.18"/>
    <n v="0.2"/>
    <n v="2600"/>
    <n v="6670.36"/>
    <n v="1334.0720000000001"/>
    <n v="5336.2879999999996"/>
    <n v="5200"/>
    <n v="136.28799999999956"/>
    <n v="2.5539850922588803E-2"/>
  </r>
  <r>
    <s v="ORD00102"/>
    <s v="L00102"/>
    <x v="92"/>
    <x v="28"/>
    <x v="1"/>
    <s v="C0005"/>
    <x v="1"/>
    <n v="5"/>
    <n v="9371.8700000000008"/>
    <n v="0.15"/>
    <n v="5750"/>
    <n v="46859.350000000006"/>
    <n v="7028.9025000000011"/>
    <n v="39830.447500000002"/>
    <n v="28750"/>
    <n v="11080.447500000002"/>
    <n v="0.27819038437868421"/>
  </r>
  <r>
    <s v="ORD00103"/>
    <s v="L00103"/>
    <x v="93"/>
    <x v="22"/>
    <x v="3"/>
    <s v="C0034"/>
    <x v="1"/>
    <n v="4"/>
    <n v="17046.37"/>
    <n v="0"/>
    <n v="11700"/>
    <n v="68185.48"/>
    <n v="0"/>
    <n v="68185.48"/>
    <n v="46800"/>
    <n v="21385.479999999996"/>
    <n v="0.31363686227624998"/>
  </r>
  <r>
    <s v="ORD00104"/>
    <s v="L00104"/>
    <x v="94"/>
    <x v="28"/>
    <x v="3"/>
    <s v="C0035"/>
    <x v="1"/>
    <n v="5"/>
    <n v="9371.8700000000008"/>
    <n v="0.05"/>
    <n v="5750"/>
    <n v="46859.350000000006"/>
    <n v="2342.9675000000002"/>
    <n v="44516.382500000007"/>
    <n v="28750"/>
    <n v="15766.382500000007"/>
    <n v="0.35417034391777014"/>
  </r>
  <r>
    <s v="ORD00105"/>
    <s v="L00105"/>
    <x v="95"/>
    <x v="11"/>
    <x v="2"/>
    <s v="C0096"/>
    <x v="0"/>
    <n v="2"/>
    <n v="5799.34"/>
    <n v="0.1"/>
    <n v="3800"/>
    <n v="11598.68"/>
    <n v="1159.8680000000002"/>
    <n v="10438.812"/>
    <n v="7600"/>
    <n v="2838.8119999999999"/>
    <n v="0.27194780402214352"/>
  </r>
  <r>
    <s v="ORD00106"/>
    <s v="L00106"/>
    <x v="96"/>
    <x v="17"/>
    <x v="4"/>
    <s v="C0035"/>
    <x v="0"/>
    <n v="4"/>
    <n v="10868.14"/>
    <n v="0.1"/>
    <n v="8850"/>
    <n v="43472.56"/>
    <n v="4347.2560000000003"/>
    <n v="39125.303999999996"/>
    <n v="35400"/>
    <n v="3725.3039999999964"/>
    <n v="9.5214697884519875E-2"/>
  </r>
  <r>
    <s v="ORD00107"/>
    <s v="L00107"/>
    <x v="97"/>
    <x v="17"/>
    <x v="4"/>
    <s v="C0095"/>
    <x v="0"/>
    <n v="5"/>
    <n v="10868.14"/>
    <n v="0"/>
    <n v="8850"/>
    <n v="54340.7"/>
    <n v="0"/>
    <n v="54340.7"/>
    <n v="44250"/>
    <n v="10090.699999999997"/>
    <n v="0.18569322809606792"/>
  </r>
  <r>
    <s v="ORD00108"/>
    <s v="L00108"/>
    <x v="98"/>
    <x v="15"/>
    <x v="3"/>
    <s v="C0087"/>
    <x v="1"/>
    <n v="1"/>
    <n v="12048.66"/>
    <n v="0"/>
    <n v="9900"/>
    <n v="12048.66"/>
    <n v="0"/>
    <n v="12048.66"/>
    <n v="9900"/>
    <n v="2148.66"/>
    <n v="0.17833186429030282"/>
  </r>
  <r>
    <s v="ORD00109"/>
    <s v="L00109"/>
    <x v="99"/>
    <x v="25"/>
    <x v="3"/>
    <s v="C0061"/>
    <x v="0"/>
    <n v="5"/>
    <n v="3559.5"/>
    <n v="0"/>
    <n v="2250"/>
    <n v="17797.5"/>
    <n v="0"/>
    <n v="17797.5"/>
    <n v="11250"/>
    <n v="6547.5"/>
    <n v="0.36788874841972186"/>
  </r>
  <r>
    <s v="ORD00110"/>
    <s v="L00110"/>
    <x v="100"/>
    <x v="16"/>
    <x v="4"/>
    <s v="C0082"/>
    <x v="0"/>
    <n v="2"/>
    <n v="10644.48"/>
    <n v="0.2"/>
    <n v="7050"/>
    <n v="21288.959999999999"/>
    <n v="4257.7920000000004"/>
    <n v="17031.167999999998"/>
    <n v="14100"/>
    <n v="2931.1679999999978"/>
    <n v="0.1721061056998556"/>
  </r>
  <r>
    <s v="ORD00111"/>
    <s v="L00111"/>
    <x v="101"/>
    <x v="11"/>
    <x v="1"/>
    <s v="C0042"/>
    <x v="1"/>
    <n v="3"/>
    <n v="5799.34"/>
    <n v="0.15"/>
    <n v="3800"/>
    <n v="17398.02"/>
    <n v="2609.703"/>
    <n v="14788.317000000001"/>
    <n v="11400"/>
    <n v="3388.3170000000009"/>
    <n v="0.22912120425874025"/>
  </r>
  <r>
    <s v="ORD00112"/>
    <s v="L00112"/>
    <x v="102"/>
    <x v="12"/>
    <x v="4"/>
    <s v="C0037"/>
    <x v="0"/>
    <n v="3"/>
    <n v="11999.07"/>
    <n v="0.15"/>
    <n v="9550"/>
    <n v="35997.21"/>
    <n v="5399.5814999999993"/>
    <n v="30597.628499999999"/>
    <n v="28650"/>
    <n v="1947.6284999999989"/>
    <n v="6.3652923297633959E-2"/>
  </r>
  <r>
    <s v="ORD00113"/>
    <s v="L00113"/>
    <x v="103"/>
    <x v="19"/>
    <x v="1"/>
    <s v="C0033"/>
    <x v="0"/>
    <n v="4"/>
    <n v="17523.439999999999"/>
    <n v="0"/>
    <n v="11850"/>
    <n v="70093.759999999995"/>
    <n v="0"/>
    <n v="70093.759999999995"/>
    <n v="47400"/>
    <n v="22693.759999999995"/>
    <n v="0.32376291413101532"/>
  </r>
  <r>
    <s v="ORD00114"/>
    <s v="L00114"/>
    <x v="104"/>
    <x v="5"/>
    <x v="2"/>
    <s v="C0060"/>
    <x v="0"/>
    <n v="5"/>
    <n v="17336.23"/>
    <n v="0"/>
    <n v="14200"/>
    <n v="86681.15"/>
    <n v="0"/>
    <n v="86681.15"/>
    <n v="71000"/>
    <n v="15681.149999999994"/>
    <n v="0.18090611395903256"/>
  </r>
  <r>
    <s v="ORD00115"/>
    <s v="L00115"/>
    <x v="105"/>
    <x v="9"/>
    <x v="2"/>
    <s v="C0097"/>
    <x v="0"/>
    <n v="5"/>
    <n v="9389.4699999999993"/>
    <n v="0.1"/>
    <n v="7250"/>
    <n v="46947.35"/>
    <n v="4694.7349999999997"/>
    <n v="42252.614999999998"/>
    <n v="36250"/>
    <n v="6002.614999999998"/>
    <n v="0.14206493491586256"/>
  </r>
  <r>
    <s v="ORD00116"/>
    <s v="L00116"/>
    <x v="46"/>
    <x v="20"/>
    <x v="1"/>
    <s v="C0071"/>
    <x v="1"/>
    <n v="1"/>
    <n v="12166.11"/>
    <n v="0.05"/>
    <n v="7750"/>
    <n v="12166.11"/>
    <n v="608.30550000000005"/>
    <n v="11557.8045"/>
    <n v="7750"/>
    <n v="3807.8045000000002"/>
    <n v="0.32945742420197538"/>
  </r>
  <r>
    <s v="ORD00117"/>
    <s v="L00117"/>
    <x v="106"/>
    <x v="16"/>
    <x v="0"/>
    <s v="C0004"/>
    <x v="1"/>
    <n v="4"/>
    <n v="10644.48"/>
    <n v="0.15"/>
    <n v="7050"/>
    <n v="42577.919999999998"/>
    <n v="6386.6879999999992"/>
    <n v="36191.231999999996"/>
    <n v="28200"/>
    <n v="7991.2319999999963"/>
    <n v="0.22080574654104057"/>
  </r>
  <r>
    <s v="ORD00118"/>
    <s v="L00118"/>
    <x v="53"/>
    <x v="24"/>
    <x v="0"/>
    <s v="C0071"/>
    <x v="0"/>
    <n v="3"/>
    <n v="2403.0700000000002"/>
    <n v="0.2"/>
    <n v="2000"/>
    <n v="7209.2100000000009"/>
    <n v="1441.8420000000003"/>
    <n v="5767.3680000000004"/>
    <n v="6000"/>
    <n v="-232.63199999999961"/>
    <n v="-4.0335903656572566E-2"/>
  </r>
  <r>
    <s v="ORD00119"/>
    <s v="L00119"/>
    <x v="107"/>
    <x v="11"/>
    <x v="0"/>
    <s v="C0083"/>
    <x v="1"/>
    <n v="1"/>
    <n v="5799.34"/>
    <n v="0.15"/>
    <n v="3800"/>
    <n v="5799.34"/>
    <n v="869.90099999999995"/>
    <n v="4929.4390000000003"/>
    <n v="3800"/>
    <n v="1129.4390000000003"/>
    <n v="0.22912120425874025"/>
  </r>
  <r>
    <s v="ORD00120"/>
    <s v="L00120"/>
    <x v="108"/>
    <x v="1"/>
    <x v="4"/>
    <s v="C0062"/>
    <x v="0"/>
    <n v="5"/>
    <n v="12193.29"/>
    <n v="0.1"/>
    <n v="9950"/>
    <n v="60966.450000000004"/>
    <n v="6096.6450000000004"/>
    <n v="54869.805000000008"/>
    <n v="49750"/>
    <n v="5119.8050000000076"/>
    <n v="9.3308241208438905E-2"/>
  </r>
  <r>
    <s v="ORD00121"/>
    <s v="L00121"/>
    <x v="109"/>
    <x v="2"/>
    <x v="4"/>
    <s v="C0025"/>
    <x v="1"/>
    <n v="5"/>
    <n v="18592.419999999998"/>
    <n v="0.05"/>
    <n v="14600"/>
    <n v="92962.099999999991"/>
    <n v="4648.1049999999996"/>
    <n v="88313.994999999995"/>
    <n v="73000"/>
    <n v="15313.994999999995"/>
    <n v="0.17340394350861374"/>
  </r>
  <r>
    <s v="ORD00122"/>
    <s v="L00122"/>
    <x v="39"/>
    <x v="12"/>
    <x v="1"/>
    <s v="C0065"/>
    <x v="0"/>
    <n v="3"/>
    <n v="11999.07"/>
    <n v="0.15"/>
    <n v="9550"/>
    <n v="35997.21"/>
    <n v="5399.5814999999993"/>
    <n v="30597.628499999999"/>
    <n v="28650"/>
    <n v="1947.6284999999989"/>
    <n v="6.3652923297633959E-2"/>
  </r>
  <r>
    <s v="ORD00123"/>
    <s v="L00123"/>
    <x v="110"/>
    <x v="19"/>
    <x v="2"/>
    <s v="C0075"/>
    <x v="0"/>
    <n v="3"/>
    <n v="17523.439999999999"/>
    <n v="0.1"/>
    <n v="11850"/>
    <n v="52570.319999999992"/>
    <n v="5257.0319999999992"/>
    <n v="47313.287999999993"/>
    <n v="35550"/>
    <n v="11763.287999999993"/>
    <n v="0.24862546014557252"/>
  </r>
  <r>
    <s v="ORD00124"/>
    <s v="L00124"/>
    <x v="88"/>
    <x v="12"/>
    <x v="4"/>
    <s v="C0045"/>
    <x v="0"/>
    <n v="4"/>
    <n v="11999.07"/>
    <n v="0.2"/>
    <n v="9550"/>
    <n v="47996.28"/>
    <n v="9599.2559999999994"/>
    <n v="38397.023999999998"/>
    <n v="38200"/>
    <n v="197.02399999999761"/>
    <n v="5.1312310037360609E-3"/>
  </r>
  <r>
    <s v="ORD00125"/>
    <s v="L00125"/>
    <x v="111"/>
    <x v="10"/>
    <x v="3"/>
    <s v="C0090"/>
    <x v="1"/>
    <n v="4"/>
    <n v="2056.0100000000002"/>
    <n v="0.1"/>
    <n v="1350"/>
    <n v="8224.0400000000009"/>
    <n v="822.40400000000011"/>
    <n v="7401.6360000000004"/>
    <n v="5400"/>
    <n v="2001.6360000000004"/>
    <n v="0.27043156404881302"/>
  </r>
  <r>
    <s v="ORD00126"/>
    <s v="L00126"/>
    <x v="112"/>
    <x v="6"/>
    <x v="0"/>
    <s v="C0041"/>
    <x v="0"/>
    <n v="2"/>
    <n v="17279.419999999998"/>
    <n v="0.15"/>
    <n v="13950"/>
    <n v="34558.839999999997"/>
    <n v="5183.8259999999991"/>
    <n v="29375.013999999996"/>
    <n v="27900"/>
    <n v="1475.0139999999956"/>
    <n v="5.0213218621785023E-2"/>
  </r>
  <r>
    <s v="ORD00127"/>
    <s v="L00127"/>
    <x v="113"/>
    <x v="24"/>
    <x v="4"/>
    <s v="C0005"/>
    <x v="1"/>
    <n v="4"/>
    <n v="2403.0700000000002"/>
    <n v="0.05"/>
    <n v="2000"/>
    <n v="9612.2800000000007"/>
    <n v="480.61400000000003"/>
    <n v="9131.6660000000011"/>
    <n v="8000"/>
    <n v="1131.6660000000011"/>
    <n v="0.12392766007867578"/>
  </r>
  <r>
    <s v="ORD00128"/>
    <s v="L00128"/>
    <x v="114"/>
    <x v="18"/>
    <x v="0"/>
    <s v="C0068"/>
    <x v="0"/>
    <n v="1"/>
    <n v="13246.95"/>
    <n v="0.15"/>
    <n v="9050"/>
    <n v="13246.95"/>
    <n v="1987.0425"/>
    <n v="11259.907500000001"/>
    <n v="9050"/>
    <n v="2209.9075000000012"/>
    <n v="0.19626337960591603"/>
  </r>
  <r>
    <s v="ORD00129"/>
    <s v="L00129"/>
    <x v="115"/>
    <x v="23"/>
    <x v="0"/>
    <s v="C0061"/>
    <x v="0"/>
    <n v="4"/>
    <n v="3694.44"/>
    <n v="0.05"/>
    <n v="3100"/>
    <n v="14777.76"/>
    <n v="738.88800000000003"/>
    <n v="14038.871999999999"/>
    <n v="12400"/>
    <n v="1638.8719999999994"/>
    <n v="0.11673815389156618"/>
  </r>
  <r>
    <s v="ORD00130"/>
    <s v="L00130"/>
    <x v="116"/>
    <x v="26"/>
    <x v="2"/>
    <s v="C0049"/>
    <x v="0"/>
    <n v="1"/>
    <n v="614.66"/>
    <n v="0.1"/>
    <n v="400"/>
    <n v="614.66"/>
    <n v="61.466000000000001"/>
    <n v="553.19399999999996"/>
    <n v="400"/>
    <n v="153.19399999999996"/>
    <n v="0.27692635856498798"/>
  </r>
  <r>
    <s v="ORD00131"/>
    <s v="L00131"/>
    <x v="117"/>
    <x v="20"/>
    <x v="2"/>
    <s v="C0009"/>
    <x v="1"/>
    <n v="5"/>
    <n v="12166.11"/>
    <n v="0"/>
    <n v="7750"/>
    <n v="60830.55"/>
    <n v="0"/>
    <n v="60830.55"/>
    <n v="38750"/>
    <n v="22080.550000000003"/>
    <n v="0.36298455299187665"/>
  </r>
  <r>
    <s v="ORD00132"/>
    <s v="L00132"/>
    <x v="106"/>
    <x v="20"/>
    <x v="4"/>
    <s v="C0013"/>
    <x v="1"/>
    <n v="2"/>
    <n v="12166.11"/>
    <n v="0"/>
    <n v="7750"/>
    <n v="24332.22"/>
    <n v="0"/>
    <n v="24332.22"/>
    <n v="15500"/>
    <n v="8832.2200000000012"/>
    <n v="0.36298455299187665"/>
  </r>
  <r>
    <s v="ORD00133"/>
    <s v="L00133"/>
    <x v="118"/>
    <x v="17"/>
    <x v="0"/>
    <s v="C0042"/>
    <x v="1"/>
    <n v="3"/>
    <n v="10868.14"/>
    <n v="0"/>
    <n v="8850"/>
    <n v="32604.42"/>
    <n v="0"/>
    <n v="32604.42"/>
    <n v="26550"/>
    <n v="6054.4199999999983"/>
    <n v="0.18569322809606792"/>
  </r>
  <r>
    <s v="ORD00134"/>
    <s v="L00134"/>
    <x v="119"/>
    <x v="22"/>
    <x v="3"/>
    <s v="C0032"/>
    <x v="0"/>
    <n v="3"/>
    <n v="17046.37"/>
    <n v="0.15"/>
    <n v="11700"/>
    <n v="51139.11"/>
    <n v="7670.8665000000001"/>
    <n v="43468.243499999997"/>
    <n v="35100"/>
    <n v="8368.2434999999969"/>
    <n v="0.1925139556191176"/>
  </r>
  <r>
    <s v="ORD00135"/>
    <s v="L00135"/>
    <x v="120"/>
    <x v="6"/>
    <x v="0"/>
    <s v="C0079"/>
    <x v="0"/>
    <n v="2"/>
    <n v="17279.419999999998"/>
    <n v="0.05"/>
    <n v="13950"/>
    <n v="34558.839999999997"/>
    <n v="1727.942"/>
    <n v="32830.897999999994"/>
    <n v="27900"/>
    <n v="4930.8979999999938"/>
    <n v="0.15019077455633392"/>
  </r>
  <r>
    <s v="ORD00136"/>
    <s v="L00136"/>
    <x v="77"/>
    <x v="15"/>
    <x v="3"/>
    <s v="C0030"/>
    <x v="0"/>
    <n v="4"/>
    <n v="12048.66"/>
    <n v="0.2"/>
    <n v="9900"/>
    <n v="48194.64"/>
    <n v="9638.9279999999999"/>
    <n v="38555.712"/>
    <n v="39600"/>
    <n v="-1044.2880000000005"/>
    <n v="-2.7085169637121483E-2"/>
  </r>
  <r>
    <s v="ORD00137"/>
    <s v="L00137"/>
    <x v="121"/>
    <x v="20"/>
    <x v="0"/>
    <s v="C0060"/>
    <x v="0"/>
    <n v="4"/>
    <n v="12166.11"/>
    <n v="0.1"/>
    <n v="7750"/>
    <n v="48664.44"/>
    <n v="4866.4440000000004"/>
    <n v="43797.995999999999"/>
    <n v="31000"/>
    <n v="12797.995999999999"/>
    <n v="0.29220505887986287"/>
  </r>
  <r>
    <s v="ORD00138"/>
    <s v="L00138"/>
    <x v="122"/>
    <x v="8"/>
    <x v="1"/>
    <s v="C0076"/>
    <x v="0"/>
    <n v="1"/>
    <n v="13787.88"/>
    <n v="0.15"/>
    <n v="9500"/>
    <n v="13787.88"/>
    <n v="2068.1819999999998"/>
    <n v="11719.698"/>
    <n v="9500"/>
    <n v="2219.6980000000003"/>
    <n v="0.18939890771929449"/>
  </r>
  <r>
    <s v="ORD00139"/>
    <s v="L00139"/>
    <x v="123"/>
    <x v="20"/>
    <x v="1"/>
    <s v="C0026"/>
    <x v="0"/>
    <n v="3"/>
    <n v="12166.11"/>
    <n v="0.15"/>
    <n v="7750"/>
    <n v="36498.33"/>
    <n v="5474.7494999999999"/>
    <n v="31023.580500000004"/>
    <n v="23250"/>
    <n v="7773.5805000000037"/>
    <n v="0.25057006234338436"/>
  </r>
  <r>
    <s v="ORD00140"/>
    <s v="L00140"/>
    <x v="124"/>
    <x v="12"/>
    <x v="4"/>
    <s v="C0074"/>
    <x v="0"/>
    <n v="1"/>
    <n v="11999.07"/>
    <n v="0.05"/>
    <n v="9550"/>
    <n v="11999.07"/>
    <n v="599.95349999999996"/>
    <n v="11399.1165"/>
    <n v="9550"/>
    <n v="1849.1165000000001"/>
    <n v="0.16221577347683042"/>
  </r>
  <r>
    <s v="ORD00141"/>
    <s v="L00141"/>
    <x v="43"/>
    <x v="6"/>
    <x v="4"/>
    <s v="C0036"/>
    <x v="1"/>
    <n v="3"/>
    <n v="17279.419999999998"/>
    <n v="0"/>
    <n v="13950"/>
    <n v="51838.259999999995"/>
    <n v="0"/>
    <n v="51838.259999999995"/>
    <n v="41850"/>
    <n v="9988.2599999999948"/>
    <n v="0.19268123582851732"/>
  </r>
  <r>
    <s v="ORD00142"/>
    <s v="L00142"/>
    <x v="125"/>
    <x v="6"/>
    <x v="1"/>
    <s v="C0100"/>
    <x v="1"/>
    <n v="5"/>
    <n v="17279.419999999998"/>
    <n v="0.15"/>
    <n v="13950"/>
    <n v="86397.099999999991"/>
    <n v="12959.564999999999"/>
    <n v="73437.534999999989"/>
    <n v="69750"/>
    <n v="3687.5349999999889"/>
    <n v="5.0213218621785023E-2"/>
  </r>
  <r>
    <s v="ORD00143"/>
    <s v="L00143"/>
    <x v="126"/>
    <x v="15"/>
    <x v="2"/>
    <s v="C0033"/>
    <x v="1"/>
    <n v="2"/>
    <n v="12048.66"/>
    <n v="0.05"/>
    <n v="9900"/>
    <n v="24097.32"/>
    <n v="1204.866"/>
    <n v="22892.453999999998"/>
    <n v="19800"/>
    <n v="3092.4539999999979"/>
    <n v="0.1350861729371608"/>
  </r>
  <r>
    <s v="ORD00144"/>
    <s v="L00144"/>
    <x v="127"/>
    <x v="20"/>
    <x v="4"/>
    <s v="C0005"/>
    <x v="0"/>
    <n v="1"/>
    <n v="12166.11"/>
    <n v="0.1"/>
    <n v="7750"/>
    <n v="12166.11"/>
    <n v="1216.6110000000001"/>
    <n v="10949.499"/>
    <n v="7750"/>
    <n v="3199.4989999999998"/>
    <n v="0.29220505887986287"/>
  </r>
  <r>
    <s v="ORD00145"/>
    <s v="L00145"/>
    <x v="128"/>
    <x v="14"/>
    <x v="1"/>
    <s v="C0096"/>
    <x v="0"/>
    <n v="1"/>
    <n v="9337.2199999999993"/>
    <n v="0.1"/>
    <n v="6050"/>
    <n v="9337.2199999999993"/>
    <n v="933.72199999999998"/>
    <n v="8403.4979999999996"/>
    <n v="6050"/>
    <n v="2353.4979999999996"/>
    <n v="0.28006170763651039"/>
  </r>
  <r>
    <s v="ORD00146"/>
    <s v="L00146"/>
    <x v="4"/>
    <x v="27"/>
    <x v="1"/>
    <s v="C0068"/>
    <x v="0"/>
    <n v="2"/>
    <n v="3335.18"/>
    <n v="0.2"/>
    <n v="2600"/>
    <n v="6670.36"/>
    <n v="1334.0720000000001"/>
    <n v="5336.2879999999996"/>
    <n v="5200"/>
    <n v="136.28799999999956"/>
    <n v="2.5539850922588803E-2"/>
  </r>
  <r>
    <s v="ORD00147"/>
    <s v="L00147"/>
    <x v="129"/>
    <x v="19"/>
    <x v="1"/>
    <s v="C0096"/>
    <x v="0"/>
    <n v="3"/>
    <n v="17523.439999999999"/>
    <n v="0.15"/>
    <n v="11850"/>
    <n v="52570.319999999992"/>
    <n v="7885.5479999999989"/>
    <n v="44684.771999999997"/>
    <n v="35550"/>
    <n v="9134.7719999999972"/>
    <n v="0.20442695780119449"/>
  </r>
  <r>
    <s v="ORD00148"/>
    <s v="L00148"/>
    <x v="94"/>
    <x v="29"/>
    <x v="3"/>
    <s v="C0097"/>
    <x v="1"/>
    <n v="4"/>
    <n v="3804.25"/>
    <n v="0"/>
    <n v="2800"/>
    <n v="15217"/>
    <n v="0"/>
    <n v="15217"/>
    <n v="11200"/>
    <n v="4017"/>
    <n v="0.26398107379904057"/>
  </r>
  <r>
    <s v="ORD00149"/>
    <s v="L00149"/>
    <x v="130"/>
    <x v="12"/>
    <x v="0"/>
    <s v="C0051"/>
    <x v="1"/>
    <n v="5"/>
    <n v="11999.07"/>
    <n v="0.1"/>
    <n v="9550"/>
    <n v="59995.35"/>
    <n v="5999.5349999999999"/>
    <n v="53995.815000000002"/>
    <n v="47750"/>
    <n v="6245.8150000000023"/>
    <n v="0.11567220533665437"/>
  </r>
  <r>
    <s v="ORD00150"/>
    <s v="L00150"/>
    <x v="131"/>
    <x v="13"/>
    <x v="1"/>
    <s v="C0075"/>
    <x v="0"/>
    <n v="4"/>
    <n v="19555.88"/>
    <n v="0.1"/>
    <n v="14200"/>
    <n v="78223.520000000004"/>
    <n v="7822.3520000000008"/>
    <n v="70401.168000000005"/>
    <n v="56800"/>
    <n v="13601.168000000005"/>
    <n v="0.19319520380684599"/>
  </r>
  <r>
    <s v="ORD00151"/>
    <s v="L00151"/>
    <x v="132"/>
    <x v="19"/>
    <x v="4"/>
    <s v="C0004"/>
    <x v="0"/>
    <n v="1"/>
    <n v="17523.439999999999"/>
    <n v="0.05"/>
    <n v="11850"/>
    <n v="17523.439999999999"/>
    <n v="876.17200000000003"/>
    <n v="16647.268"/>
    <n v="11850"/>
    <n v="4797.268"/>
    <n v="0.28817148855896357"/>
  </r>
  <r>
    <s v="ORD00152"/>
    <s v="L00152"/>
    <x v="78"/>
    <x v="16"/>
    <x v="1"/>
    <s v="C0084"/>
    <x v="0"/>
    <n v="1"/>
    <n v="10644.48"/>
    <n v="0.15"/>
    <n v="7050"/>
    <n v="10644.48"/>
    <n v="1596.6719999999998"/>
    <n v="9047.8079999999991"/>
    <n v="7050"/>
    <n v="1997.8079999999991"/>
    <n v="0.22080574654104057"/>
  </r>
  <r>
    <s v="ORD00153"/>
    <s v="L00153"/>
    <x v="133"/>
    <x v="5"/>
    <x v="1"/>
    <s v="C0064"/>
    <x v="1"/>
    <n v="1"/>
    <n v="17336.23"/>
    <n v="0"/>
    <n v="14200"/>
    <n v="17336.23"/>
    <n v="0"/>
    <n v="17336.23"/>
    <n v="14200"/>
    <n v="3136.2299999999996"/>
    <n v="0.18090611395903258"/>
  </r>
  <r>
    <s v="ORD00154"/>
    <s v="L00154"/>
    <x v="20"/>
    <x v="5"/>
    <x v="4"/>
    <s v="C0059"/>
    <x v="0"/>
    <n v="5"/>
    <n v="17336.23"/>
    <n v="0.05"/>
    <n v="14200"/>
    <n v="86681.15"/>
    <n v="4334.0574999999999"/>
    <n v="82347.092499999999"/>
    <n v="71000"/>
    <n v="11347.092499999999"/>
    <n v="0.13779590943056064"/>
  </r>
  <r>
    <s v="ORD00155"/>
    <s v="L00155"/>
    <x v="59"/>
    <x v="8"/>
    <x v="4"/>
    <s v="C0084"/>
    <x v="1"/>
    <n v="5"/>
    <n v="13787.88"/>
    <n v="0.05"/>
    <n v="9500"/>
    <n v="68939.399999999994"/>
    <n v="3446.97"/>
    <n v="65492.429999999993"/>
    <n v="47500"/>
    <n v="17992.429999999993"/>
    <n v="0.27472533848568448"/>
  </r>
  <r>
    <s v="ORD00156"/>
    <s v="L00156"/>
    <x v="134"/>
    <x v="19"/>
    <x v="1"/>
    <s v="C0005"/>
    <x v="0"/>
    <n v="5"/>
    <n v="17523.439999999999"/>
    <n v="0.15"/>
    <n v="11850"/>
    <n v="87617.2"/>
    <n v="13142.58"/>
    <n v="74474.62"/>
    <n v="59250"/>
    <n v="15224.619999999995"/>
    <n v="0.20442695780119449"/>
  </r>
  <r>
    <s v="ORD00157"/>
    <s v="L00157"/>
    <x v="135"/>
    <x v="4"/>
    <x v="1"/>
    <s v="C0013"/>
    <x v="0"/>
    <n v="4"/>
    <n v="19237.78"/>
    <n v="0.05"/>
    <n v="13150"/>
    <n v="76951.12"/>
    <n v="3847.556"/>
    <n v="73103.563999999998"/>
    <n v="52600"/>
    <n v="20503.563999999998"/>
    <n v="0.2804728371382823"/>
  </r>
  <r>
    <s v="ORD00158"/>
    <s v="L00158"/>
    <x v="119"/>
    <x v="10"/>
    <x v="1"/>
    <s v="C0025"/>
    <x v="1"/>
    <n v="1"/>
    <n v="2056.0100000000002"/>
    <n v="0.15"/>
    <n v="1350"/>
    <n v="2056.0100000000002"/>
    <n v="308.4015"/>
    <n v="1747.6085000000003"/>
    <n v="1350"/>
    <n v="397.60850000000028"/>
    <n v="0.22751577369874329"/>
  </r>
  <r>
    <s v="ORD00159"/>
    <s v="L00159"/>
    <x v="16"/>
    <x v="12"/>
    <x v="2"/>
    <s v="C0003"/>
    <x v="1"/>
    <n v="1"/>
    <n v="11999.07"/>
    <n v="0.05"/>
    <n v="9550"/>
    <n v="11999.07"/>
    <n v="599.95349999999996"/>
    <n v="11399.1165"/>
    <n v="9550"/>
    <n v="1849.1165000000001"/>
    <n v="0.16221577347683042"/>
  </r>
  <r>
    <s v="ORD00160"/>
    <s v="L00160"/>
    <x v="136"/>
    <x v="29"/>
    <x v="2"/>
    <s v="C0027"/>
    <x v="1"/>
    <n v="2"/>
    <n v="3804.25"/>
    <n v="0.05"/>
    <n v="2800"/>
    <n v="7608.5"/>
    <n v="380.42500000000001"/>
    <n v="7228.0749999999998"/>
    <n v="5600"/>
    <n v="1628.0749999999998"/>
    <n v="0.22524323557793741"/>
  </r>
  <r>
    <s v="ORD00161"/>
    <s v="L00161"/>
    <x v="137"/>
    <x v="19"/>
    <x v="3"/>
    <s v="C0043"/>
    <x v="1"/>
    <n v="5"/>
    <n v="17523.439999999999"/>
    <n v="0.05"/>
    <n v="11850"/>
    <n v="87617.2"/>
    <n v="4380.8599999999997"/>
    <n v="83236.34"/>
    <n v="59250"/>
    <n v="23986.339999999997"/>
    <n v="0.28817148855896352"/>
  </r>
  <r>
    <s v="ORD00162"/>
    <s v="L00162"/>
    <x v="110"/>
    <x v="29"/>
    <x v="3"/>
    <s v="C0070"/>
    <x v="0"/>
    <n v="3"/>
    <n v="3804.25"/>
    <n v="0.05"/>
    <n v="2800"/>
    <n v="11412.75"/>
    <n v="570.63750000000005"/>
    <n v="10842.112499999999"/>
    <n v="8400"/>
    <n v="2442.1124999999993"/>
    <n v="0.22524323557793738"/>
  </r>
  <r>
    <s v="ORD00163"/>
    <s v="L00163"/>
    <x v="44"/>
    <x v="29"/>
    <x v="3"/>
    <s v="C0002"/>
    <x v="0"/>
    <n v="1"/>
    <n v="3804.25"/>
    <n v="0"/>
    <n v="2800"/>
    <n v="3804.25"/>
    <n v="0"/>
    <n v="3804.25"/>
    <n v="2800"/>
    <n v="1004.25"/>
    <n v="0.26398107379904057"/>
  </r>
  <r>
    <s v="ORD00164"/>
    <s v="L00164"/>
    <x v="138"/>
    <x v="29"/>
    <x v="0"/>
    <s v="C0023"/>
    <x v="0"/>
    <n v="5"/>
    <n v="3804.25"/>
    <n v="0.1"/>
    <n v="2800"/>
    <n v="19021.25"/>
    <n v="1902.125"/>
    <n v="17119.125"/>
    <n v="14000"/>
    <n v="3119.125"/>
    <n v="0.18220119311004504"/>
  </r>
  <r>
    <s v="ORD00165"/>
    <s v="L00165"/>
    <x v="139"/>
    <x v="9"/>
    <x v="0"/>
    <s v="C0096"/>
    <x v="1"/>
    <n v="4"/>
    <n v="9389.4699999999993"/>
    <n v="0.2"/>
    <n v="7250"/>
    <n v="37557.879999999997"/>
    <n v="7511.576"/>
    <n v="30046.303999999996"/>
    <n v="29000"/>
    <n v="1046.3039999999964"/>
    <n v="3.4823051780345317E-2"/>
  </r>
  <r>
    <s v="ORD00166"/>
    <s v="L00166"/>
    <x v="12"/>
    <x v="1"/>
    <x v="2"/>
    <s v="C0014"/>
    <x v="0"/>
    <n v="3"/>
    <n v="12193.29"/>
    <n v="0.2"/>
    <n v="9950"/>
    <n v="36579.870000000003"/>
    <n v="7315.9740000000011"/>
    <n v="29263.896000000001"/>
    <n v="29850"/>
    <n v="-586.10399999999936"/>
    <n v="-2.0028228640506355E-2"/>
  </r>
  <r>
    <s v="ORD00167"/>
    <s v="L00167"/>
    <x v="78"/>
    <x v="18"/>
    <x v="2"/>
    <s v="C0039"/>
    <x v="0"/>
    <n v="5"/>
    <n v="13246.95"/>
    <n v="0"/>
    <n v="9050"/>
    <n v="66234.75"/>
    <n v="0"/>
    <n v="66234.75"/>
    <n v="45250"/>
    <n v="20984.75"/>
    <n v="0.31682387266502854"/>
  </r>
  <r>
    <s v="ORD00168"/>
    <s v="L00168"/>
    <x v="140"/>
    <x v="20"/>
    <x v="4"/>
    <s v="C0055"/>
    <x v="1"/>
    <n v="1"/>
    <n v="12166.11"/>
    <n v="0.15"/>
    <n v="7750"/>
    <n v="12166.11"/>
    <n v="1824.9165"/>
    <n v="10341.193500000001"/>
    <n v="7750"/>
    <n v="2591.1935000000012"/>
    <n v="0.25057006234338436"/>
  </r>
  <r>
    <s v="ORD00169"/>
    <s v="L00169"/>
    <x v="135"/>
    <x v="1"/>
    <x v="1"/>
    <s v="C0078"/>
    <x v="1"/>
    <n v="1"/>
    <n v="12193.29"/>
    <n v="0"/>
    <n v="9950"/>
    <n v="12193.29"/>
    <n v="0"/>
    <n v="12193.29"/>
    <n v="9950"/>
    <n v="2243.2900000000009"/>
    <n v="0.18397741708759496"/>
  </r>
  <r>
    <s v="ORD00170"/>
    <s v="L00170"/>
    <x v="139"/>
    <x v="11"/>
    <x v="2"/>
    <s v="C0071"/>
    <x v="0"/>
    <n v="3"/>
    <n v="5799.34"/>
    <n v="0.2"/>
    <n v="3800"/>
    <n v="17398.02"/>
    <n v="3479.6040000000003"/>
    <n v="13918.416000000001"/>
    <n v="11400"/>
    <n v="2518.4160000000011"/>
    <n v="0.18094127952491151"/>
  </r>
  <r>
    <s v="ORD00171"/>
    <s v="L00171"/>
    <x v="141"/>
    <x v="21"/>
    <x v="2"/>
    <s v="C0056"/>
    <x v="1"/>
    <n v="4"/>
    <n v="11729.87"/>
    <n v="0.2"/>
    <n v="8950"/>
    <n v="46919.48"/>
    <n v="9383.8960000000006"/>
    <n v="37535.584000000003"/>
    <n v="35800"/>
    <n v="1735.5840000000026"/>
    <n v="4.6238364108042183E-2"/>
  </r>
  <r>
    <s v="ORD00172"/>
    <s v="L00172"/>
    <x v="94"/>
    <x v="29"/>
    <x v="4"/>
    <s v="C0058"/>
    <x v="1"/>
    <n v="5"/>
    <n v="3804.25"/>
    <n v="0.05"/>
    <n v="2800"/>
    <n v="19021.25"/>
    <n v="951.0625"/>
    <n v="18070.1875"/>
    <n v="14000"/>
    <n v="4070.1875"/>
    <n v="0.22524323557793741"/>
  </r>
  <r>
    <s v="ORD00173"/>
    <s v="L00173"/>
    <x v="142"/>
    <x v="28"/>
    <x v="4"/>
    <s v="C0094"/>
    <x v="1"/>
    <n v="4"/>
    <n v="9371.8700000000008"/>
    <n v="0.15"/>
    <n v="5750"/>
    <n v="37487.480000000003"/>
    <n v="5623.1220000000003"/>
    <n v="31864.358000000004"/>
    <n v="23000"/>
    <n v="8864.3580000000038"/>
    <n v="0.27819038437868426"/>
  </r>
  <r>
    <s v="ORD00174"/>
    <s v="L00174"/>
    <x v="143"/>
    <x v="26"/>
    <x v="1"/>
    <s v="C0020"/>
    <x v="0"/>
    <n v="3"/>
    <n v="614.66"/>
    <n v="0.1"/>
    <n v="400"/>
    <n v="1843.98"/>
    <n v="184.39800000000002"/>
    <n v="1659.5819999999999"/>
    <n v="1200"/>
    <n v="459.58199999999988"/>
    <n v="0.27692635856498798"/>
  </r>
  <r>
    <s v="ORD00175"/>
    <s v="L00175"/>
    <x v="144"/>
    <x v="11"/>
    <x v="4"/>
    <s v="C0013"/>
    <x v="0"/>
    <n v="1"/>
    <n v="5799.34"/>
    <n v="0"/>
    <n v="3800"/>
    <n v="5799.34"/>
    <n v="0"/>
    <n v="5799.34"/>
    <n v="3800"/>
    <n v="1999.3400000000001"/>
    <n v="0.34475302361992916"/>
  </r>
  <r>
    <s v="ORD00176"/>
    <s v="L00176"/>
    <x v="145"/>
    <x v="29"/>
    <x v="2"/>
    <s v="C0072"/>
    <x v="0"/>
    <n v="5"/>
    <n v="3804.25"/>
    <n v="0"/>
    <n v="2800"/>
    <n v="19021.25"/>
    <n v="0"/>
    <n v="19021.25"/>
    <n v="14000"/>
    <n v="5021.25"/>
    <n v="0.26398107379904057"/>
  </r>
  <r>
    <s v="ORD00177"/>
    <s v="L00177"/>
    <x v="146"/>
    <x v="8"/>
    <x v="4"/>
    <s v="C0093"/>
    <x v="1"/>
    <n v="4"/>
    <n v="13787.88"/>
    <n v="0.1"/>
    <n v="9500"/>
    <n v="55151.519999999997"/>
    <n v="5515.152"/>
    <n v="49636.367999999995"/>
    <n v="38000"/>
    <n v="11636.367999999995"/>
    <n v="0.23443230173488916"/>
  </r>
  <r>
    <s v="ORD00178"/>
    <s v="L00178"/>
    <x v="147"/>
    <x v="22"/>
    <x v="2"/>
    <s v="C0065"/>
    <x v="1"/>
    <n v="3"/>
    <n v="17046.37"/>
    <n v="0"/>
    <n v="11700"/>
    <n v="51139.11"/>
    <n v="0"/>
    <n v="51139.11"/>
    <n v="35100"/>
    <n v="16039.11"/>
    <n v="0.31363686227625004"/>
  </r>
  <r>
    <s v="ORD00179"/>
    <s v="L00179"/>
    <x v="148"/>
    <x v="3"/>
    <x v="1"/>
    <s v="C0072"/>
    <x v="0"/>
    <n v="2"/>
    <n v="13204.06"/>
    <n v="0"/>
    <n v="11050"/>
    <n v="26408.12"/>
    <n v="0"/>
    <n v="26408.12"/>
    <n v="22100"/>
    <n v="4308.119999999999"/>
    <n v="0.1631361869000898"/>
  </r>
  <r>
    <s v="ORD00180"/>
    <s v="L00180"/>
    <x v="149"/>
    <x v="5"/>
    <x v="4"/>
    <s v="C0072"/>
    <x v="1"/>
    <n v="5"/>
    <n v="17336.23"/>
    <n v="0.05"/>
    <n v="14200"/>
    <n v="86681.15"/>
    <n v="4334.0574999999999"/>
    <n v="82347.092499999999"/>
    <n v="71000"/>
    <n v="11347.092499999999"/>
    <n v="0.13779590943056064"/>
  </r>
  <r>
    <s v="ORD00181"/>
    <s v="L00181"/>
    <x v="150"/>
    <x v="15"/>
    <x v="1"/>
    <s v="C0090"/>
    <x v="0"/>
    <n v="1"/>
    <n v="12048.66"/>
    <n v="0.05"/>
    <n v="9900"/>
    <n v="12048.66"/>
    <n v="602.43299999999999"/>
    <n v="11446.226999999999"/>
    <n v="9900"/>
    <n v="1546.226999999999"/>
    <n v="0.1350861729371608"/>
  </r>
  <r>
    <s v="ORD00182"/>
    <s v="L00182"/>
    <x v="142"/>
    <x v="16"/>
    <x v="3"/>
    <s v="C0019"/>
    <x v="0"/>
    <n v="3"/>
    <n v="10644.48"/>
    <n v="0"/>
    <n v="7050"/>
    <n v="31933.439999999999"/>
    <n v="0"/>
    <n v="31933.439999999999"/>
    <n v="21150"/>
    <n v="10783.439999999999"/>
    <n v="0.33768488455988455"/>
  </r>
  <r>
    <s v="ORD00183"/>
    <s v="L00183"/>
    <x v="151"/>
    <x v="11"/>
    <x v="2"/>
    <s v="C0028"/>
    <x v="0"/>
    <n v="1"/>
    <n v="5799.34"/>
    <n v="0"/>
    <n v="3800"/>
    <n v="5799.34"/>
    <n v="0"/>
    <n v="5799.34"/>
    <n v="3800"/>
    <n v="1999.3400000000001"/>
    <n v="0.34475302361992916"/>
  </r>
  <r>
    <s v="ORD00184"/>
    <s v="L00184"/>
    <x v="152"/>
    <x v="28"/>
    <x v="1"/>
    <s v="C0040"/>
    <x v="0"/>
    <n v="3"/>
    <n v="9371.8700000000008"/>
    <n v="0.05"/>
    <n v="5750"/>
    <n v="28115.61"/>
    <n v="1405.7805000000001"/>
    <n v="26709.8295"/>
    <n v="17250"/>
    <n v="9459.8294999999998"/>
    <n v="0.35417034391777003"/>
  </r>
  <r>
    <s v="ORD00185"/>
    <s v="L00185"/>
    <x v="47"/>
    <x v="25"/>
    <x v="3"/>
    <s v="C0097"/>
    <x v="1"/>
    <n v="1"/>
    <n v="3559.5"/>
    <n v="0.05"/>
    <n v="2250"/>
    <n v="3559.5"/>
    <n v="177.97500000000002"/>
    <n v="3381.5250000000001"/>
    <n v="2250"/>
    <n v="1131.5250000000001"/>
    <n v="0.33461973517865462"/>
  </r>
  <r>
    <s v="ORD00186"/>
    <s v="L00186"/>
    <x v="21"/>
    <x v="8"/>
    <x v="4"/>
    <s v="C0063"/>
    <x v="0"/>
    <n v="3"/>
    <n v="13787.88"/>
    <n v="0.15"/>
    <n v="9500"/>
    <n v="41363.64"/>
    <n v="6204.5459999999994"/>
    <n v="35159.093999999997"/>
    <n v="28500"/>
    <n v="6659.0939999999973"/>
    <n v="0.18939890771929441"/>
  </r>
  <r>
    <s v="ORD00187"/>
    <s v="L00187"/>
    <x v="60"/>
    <x v="28"/>
    <x v="0"/>
    <s v="C0045"/>
    <x v="0"/>
    <n v="2"/>
    <n v="9371.8700000000008"/>
    <n v="0.2"/>
    <n v="5750"/>
    <n v="18743.740000000002"/>
    <n v="3748.7480000000005"/>
    <n v="14994.992000000002"/>
    <n v="11500"/>
    <n v="3494.992000000002"/>
    <n v="0.23307728340235204"/>
  </r>
  <r>
    <s v="ORD00188"/>
    <s v="L00188"/>
    <x v="153"/>
    <x v="5"/>
    <x v="2"/>
    <s v="C0086"/>
    <x v="0"/>
    <n v="5"/>
    <n v="17336.23"/>
    <n v="0.15"/>
    <n v="14200"/>
    <n v="86681.15"/>
    <n v="13002.172499999999"/>
    <n v="73678.977499999994"/>
    <n v="71000"/>
    <n v="2678.9774999999936"/>
    <n v="3.6360134069450052E-2"/>
  </r>
  <r>
    <s v="ORD00189"/>
    <s v="L00189"/>
    <x v="6"/>
    <x v="9"/>
    <x v="0"/>
    <s v="C0001"/>
    <x v="1"/>
    <n v="4"/>
    <n v="9389.4699999999993"/>
    <n v="0.2"/>
    <n v="7250"/>
    <n v="37557.879999999997"/>
    <n v="7511.576"/>
    <n v="30046.303999999996"/>
    <n v="29000"/>
    <n v="1046.3039999999964"/>
    <n v="3.4823051780345317E-2"/>
  </r>
  <r>
    <s v="ORD00190"/>
    <s v="L00190"/>
    <x v="154"/>
    <x v="22"/>
    <x v="1"/>
    <s v="C0042"/>
    <x v="1"/>
    <n v="2"/>
    <n v="17046.37"/>
    <n v="0.1"/>
    <n v="11700"/>
    <n v="34092.74"/>
    <n v="3409.2739999999999"/>
    <n v="30683.465999999997"/>
    <n v="23400"/>
    <n v="7283.4659999999967"/>
    <n v="0.23737429141805549"/>
  </r>
  <r>
    <s v="ORD00191"/>
    <s v="L00191"/>
    <x v="155"/>
    <x v="23"/>
    <x v="3"/>
    <s v="C0049"/>
    <x v="1"/>
    <n v="4"/>
    <n v="3694.44"/>
    <n v="0.05"/>
    <n v="3100"/>
    <n v="14777.76"/>
    <n v="738.88800000000003"/>
    <n v="14038.871999999999"/>
    <n v="12400"/>
    <n v="1638.8719999999994"/>
    <n v="0.11673815389156618"/>
  </r>
  <r>
    <s v="ORD00192"/>
    <s v="L00192"/>
    <x v="156"/>
    <x v="18"/>
    <x v="0"/>
    <s v="C0056"/>
    <x v="1"/>
    <n v="1"/>
    <n v="13246.95"/>
    <n v="0.15"/>
    <n v="9050"/>
    <n v="13246.95"/>
    <n v="1987.0425"/>
    <n v="11259.907500000001"/>
    <n v="9050"/>
    <n v="2209.9075000000012"/>
    <n v="0.19626337960591603"/>
  </r>
  <r>
    <s v="ORD00193"/>
    <s v="L00193"/>
    <x v="157"/>
    <x v="17"/>
    <x v="4"/>
    <s v="C0074"/>
    <x v="0"/>
    <n v="3"/>
    <n v="10868.14"/>
    <n v="0.2"/>
    <n v="8850"/>
    <n v="32604.42"/>
    <n v="6520.884"/>
    <n v="26083.536"/>
    <n v="26550"/>
    <n v="-466.46399999999994"/>
    <n v="-1.7883464879915052E-2"/>
  </r>
  <r>
    <s v="ORD00194"/>
    <s v="L00194"/>
    <x v="158"/>
    <x v="24"/>
    <x v="4"/>
    <s v="C0003"/>
    <x v="0"/>
    <n v="3"/>
    <n v="2403.0700000000002"/>
    <n v="0"/>
    <n v="2000"/>
    <n v="7209.2100000000009"/>
    <n v="0"/>
    <n v="7209.2100000000009"/>
    <n v="6000"/>
    <n v="1209.2100000000009"/>
    <n v="0.167731277074742"/>
  </r>
  <r>
    <s v="ORD00195"/>
    <s v="L00195"/>
    <x v="159"/>
    <x v="27"/>
    <x v="4"/>
    <s v="C0014"/>
    <x v="1"/>
    <n v="3"/>
    <n v="3335.18"/>
    <n v="0"/>
    <n v="2600"/>
    <n v="10005.539999999999"/>
    <n v="0"/>
    <n v="10005.539999999999"/>
    <n v="7800"/>
    <n v="2205.5399999999991"/>
    <n v="0.22043188073807105"/>
  </r>
  <r>
    <s v="ORD00196"/>
    <s v="L00196"/>
    <x v="15"/>
    <x v="28"/>
    <x v="4"/>
    <s v="C0040"/>
    <x v="0"/>
    <n v="5"/>
    <n v="9371.8700000000008"/>
    <n v="0"/>
    <n v="5750"/>
    <n v="46859.350000000006"/>
    <n v="0"/>
    <n v="46859.350000000006"/>
    <n v="28750"/>
    <n v="18109.350000000006"/>
    <n v="0.38646182672188162"/>
  </r>
  <r>
    <s v="ORD00197"/>
    <s v="L00197"/>
    <x v="136"/>
    <x v="2"/>
    <x v="2"/>
    <s v="C0082"/>
    <x v="1"/>
    <n v="2"/>
    <n v="18592.419999999998"/>
    <n v="0"/>
    <n v="14600"/>
    <n v="37184.839999999997"/>
    <n v="0"/>
    <n v="37184.839999999997"/>
    <n v="29200"/>
    <n v="7984.8399999999965"/>
    <n v="0.21473374633318301"/>
  </r>
  <r>
    <s v="ORD00198"/>
    <s v="L00198"/>
    <x v="160"/>
    <x v="18"/>
    <x v="1"/>
    <s v="C0094"/>
    <x v="1"/>
    <n v="2"/>
    <n v="13246.95"/>
    <n v="0.1"/>
    <n v="9050"/>
    <n v="26493.9"/>
    <n v="2649.3900000000003"/>
    <n v="23844.510000000002"/>
    <n v="18100"/>
    <n v="5744.510000000002"/>
    <n v="0.240915414072254"/>
  </r>
  <r>
    <s v="ORD00199"/>
    <s v="L00199"/>
    <x v="35"/>
    <x v="2"/>
    <x v="3"/>
    <s v="C0023"/>
    <x v="1"/>
    <n v="2"/>
    <n v="18592.419999999998"/>
    <n v="0.1"/>
    <n v="14600"/>
    <n v="37184.839999999997"/>
    <n v="3718.4839999999999"/>
    <n v="33466.356"/>
    <n v="29200"/>
    <n v="4266.3559999999998"/>
    <n v="0.12748194037020344"/>
  </r>
  <r>
    <s v="ORD00200"/>
    <s v="L00200"/>
    <x v="13"/>
    <x v="25"/>
    <x v="4"/>
    <s v="C0097"/>
    <x v="0"/>
    <n v="2"/>
    <n v="3559.5"/>
    <n v="0.15"/>
    <n v="2250"/>
    <n v="7119"/>
    <n v="1067.8499999999999"/>
    <n v="6051.15"/>
    <n v="4500"/>
    <n v="1551.1499999999996"/>
    <n v="0.25633970402320216"/>
  </r>
  <r>
    <s v="ORD00201"/>
    <s v="L00201"/>
    <x v="161"/>
    <x v="8"/>
    <x v="4"/>
    <s v="C0009"/>
    <x v="0"/>
    <n v="3"/>
    <n v="13787.88"/>
    <n v="0.05"/>
    <n v="9500"/>
    <n v="41363.64"/>
    <n v="2068.1820000000002"/>
    <n v="39295.457999999999"/>
    <n v="28500"/>
    <n v="10795.457999999999"/>
    <n v="0.27472533848568448"/>
  </r>
  <r>
    <s v="ORD00202"/>
    <s v="L00202"/>
    <x v="162"/>
    <x v="17"/>
    <x v="0"/>
    <s v="C0046"/>
    <x v="1"/>
    <n v="3"/>
    <n v="10868.14"/>
    <n v="0.2"/>
    <n v="8850"/>
    <n v="32604.42"/>
    <n v="6520.884"/>
    <n v="26083.536"/>
    <n v="26550"/>
    <n v="-466.46399999999994"/>
    <n v="-1.7883464879915052E-2"/>
  </r>
  <r>
    <s v="ORD00203"/>
    <s v="L00203"/>
    <x v="63"/>
    <x v="22"/>
    <x v="0"/>
    <s v="C0048"/>
    <x v="0"/>
    <n v="4"/>
    <n v="17046.37"/>
    <n v="0"/>
    <n v="11700"/>
    <n v="68185.48"/>
    <n v="0"/>
    <n v="68185.48"/>
    <n v="46800"/>
    <n v="21385.479999999996"/>
    <n v="0.31363686227624998"/>
  </r>
  <r>
    <s v="ORD00204"/>
    <s v="L00204"/>
    <x v="163"/>
    <x v="11"/>
    <x v="2"/>
    <s v="C0050"/>
    <x v="0"/>
    <n v="5"/>
    <n v="5799.34"/>
    <n v="0.2"/>
    <n v="3800"/>
    <n v="28996.7"/>
    <n v="5799.34"/>
    <n v="23197.360000000001"/>
    <n v="19000"/>
    <n v="4197.3600000000006"/>
    <n v="0.18094127952491149"/>
  </r>
  <r>
    <s v="ORD00205"/>
    <s v="L00205"/>
    <x v="164"/>
    <x v="6"/>
    <x v="3"/>
    <s v="C0042"/>
    <x v="0"/>
    <n v="4"/>
    <n v="17279.419999999998"/>
    <n v="0.2"/>
    <n v="13950"/>
    <n v="69117.679999999993"/>
    <n v="13823.536"/>
    <n v="55294.143999999993"/>
    <n v="55800"/>
    <n v="-505.85600000000704"/>
    <n v="-9.1484552143533873E-3"/>
  </r>
  <r>
    <s v="ORD00206"/>
    <s v="L00206"/>
    <x v="55"/>
    <x v="18"/>
    <x v="0"/>
    <s v="C0044"/>
    <x v="1"/>
    <n v="1"/>
    <n v="13246.95"/>
    <n v="0.15"/>
    <n v="9050"/>
    <n v="13246.95"/>
    <n v="1987.0425"/>
    <n v="11259.907500000001"/>
    <n v="9050"/>
    <n v="2209.9075000000012"/>
    <n v="0.19626337960591603"/>
  </r>
  <r>
    <s v="ORD00207"/>
    <s v="L00207"/>
    <x v="165"/>
    <x v="18"/>
    <x v="4"/>
    <s v="C0057"/>
    <x v="1"/>
    <n v="1"/>
    <n v="13246.95"/>
    <n v="0.05"/>
    <n v="9050"/>
    <n v="13246.95"/>
    <n v="662.34750000000008"/>
    <n v="12584.602500000001"/>
    <n v="9050"/>
    <n v="3534.6025000000009"/>
    <n v="0.28086723438424066"/>
  </r>
  <r>
    <s v="ORD00208"/>
    <s v="L00208"/>
    <x v="166"/>
    <x v="0"/>
    <x v="4"/>
    <s v="C0100"/>
    <x v="0"/>
    <n v="3"/>
    <n v="6484.94"/>
    <n v="0.15"/>
    <n v="4300"/>
    <n v="19454.82"/>
    <n v="2918.223"/>
    <n v="16536.597000000002"/>
    <n v="12900"/>
    <n v="3636.5970000000016"/>
    <n v="0.21991205324771482"/>
  </r>
  <r>
    <s v="ORD00209"/>
    <s v="L00209"/>
    <x v="167"/>
    <x v="8"/>
    <x v="1"/>
    <s v="C0013"/>
    <x v="0"/>
    <n v="3"/>
    <n v="13787.88"/>
    <n v="0"/>
    <n v="9500"/>
    <n v="41363.64"/>
    <n v="0"/>
    <n v="41363.64"/>
    <n v="28500"/>
    <n v="12863.64"/>
    <n v="0.31098907156140027"/>
  </r>
  <r>
    <s v="ORD00210"/>
    <s v="L00210"/>
    <x v="168"/>
    <x v="22"/>
    <x v="1"/>
    <s v="C0011"/>
    <x v="1"/>
    <n v="5"/>
    <n v="17046.37"/>
    <n v="0.05"/>
    <n v="11700"/>
    <n v="85231.849999999991"/>
    <n v="4261.5924999999997"/>
    <n v="80970.257499999992"/>
    <n v="58500"/>
    <n v="22470.257499999992"/>
    <n v="0.2775124866065789"/>
  </r>
  <r>
    <s v="ORD00211"/>
    <s v="L00211"/>
    <x v="169"/>
    <x v="16"/>
    <x v="3"/>
    <s v="C0077"/>
    <x v="1"/>
    <n v="3"/>
    <n v="10644.48"/>
    <n v="0.15"/>
    <n v="7050"/>
    <n v="31933.439999999999"/>
    <n v="4790.0159999999996"/>
    <n v="27143.423999999999"/>
    <n v="21150"/>
    <n v="5993.4239999999991"/>
    <n v="0.22080574654104063"/>
  </r>
  <r>
    <s v="ORD00212"/>
    <s v="L00212"/>
    <x v="170"/>
    <x v="22"/>
    <x v="2"/>
    <s v="C0012"/>
    <x v="0"/>
    <n v="3"/>
    <n v="17046.37"/>
    <n v="0.05"/>
    <n v="11700"/>
    <n v="51139.11"/>
    <n v="2556.9555"/>
    <n v="48582.154500000004"/>
    <n v="35100"/>
    <n v="13482.154500000004"/>
    <n v="0.27751248660657901"/>
  </r>
  <r>
    <s v="ORD00213"/>
    <s v="L00213"/>
    <x v="171"/>
    <x v="18"/>
    <x v="1"/>
    <s v="C0024"/>
    <x v="1"/>
    <n v="1"/>
    <n v="13246.95"/>
    <n v="0.1"/>
    <n v="9050"/>
    <n v="13246.95"/>
    <n v="1324.6950000000002"/>
    <n v="11922.255000000001"/>
    <n v="9050"/>
    <n v="2872.255000000001"/>
    <n v="0.240915414072254"/>
  </r>
  <r>
    <s v="ORD00214"/>
    <s v="L00214"/>
    <x v="8"/>
    <x v="26"/>
    <x v="3"/>
    <s v="C0020"/>
    <x v="1"/>
    <n v="2"/>
    <n v="614.66"/>
    <n v="0.05"/>
    <n v="400"/>
    <n v="1229.32"/>
    <n v="61.466000000000001"/>
    <n v="1167.854"/>
    <n v="800"/>
    <n v="367.85400000000004"/>
    <n v="0.31498286600893605"/>
  </r>
  <r>
    <s v="ORD00215"/>
    <s v="L00215"/>
    <x v="172"/>
    <x v="22"/>
    <x v="2"/>
    <s v="C0005"/>
    <x v="0"/>
    <n v="5"/>
    <n v="17046.37"/>
    <n v="0.2"/>
    <n v="11700"/>
    <n v="85231.849999999991"/>
    <n v="17046.37"/>
    <n v="68185.48"/>
    <n v="58500"/>
    <n v="9685.4799999999959"/>
    <n v="0.14204607784531248"/>
  </r>
  <r>
    <s v="ORD00216"/>
    <s v="L00216"/>
    <x v="128"/>
    <x v="7"/>
    <x v="3"/>
    <s v="C0021"/>
    <x v="1"/>
    <n v="5"/>
    <n v="11889.76"/>
    <n v="0.15"/>
    <n v="9300"/>
    <n v="59448.800000000003"/>
    <n v="8917.32"/>
    <n v="50531.48"/>
    <n v="46500"/>
    <n v="4031.4800000000032"/>
    <n v="7.9781553993668958E-2"/>
  </r>
  <r>
    <s v="ORD00217"/>
    <s v="L00217"/>
    <x v="173"/>
    <x v="19"/>
    <x v="4"/>
    <s v="C0047"/>
    <x v="1"/>
    <n v="4"/>
    <n v="17523.439999999999"/>
    <n v="0"/>
    <n v="11850"/>
    <n v="70093.759999999995"/>
    <n v="0"/>
    <n v="70093.759999999995"/>
    <n v="47400"/>
    <n v="22693.759999999995"/>
    <n v="0.32376291413101532"/>
  </r>
  <r>
    <s v="ORD00218"/>
    <s v="L00218"/>
    <x v="174"/>
    <x v="17"/>
    <x v="2"/>
    <s v="C0031"/>
    <x v="0"/>
    <n v="4"/>
    <n v="10868.14"/>
    <n v="0.05"/>
    <n v="8850"/>
    <n v="43472.56"/>
    <n v="2173.6280000000002"/>
    <n v="41298.932000000001"/>
    <n v="35400"/>
    <n v="5898.9320000000007"/>
    <n v="0.14283497694322944"/>
  </r>
  <r>
    <s v="ORD00219"/>
    <s v="L00219"/>
    <x v="175"/>
    <x v="29"/>
    <x v="2"/>
    <s v="C0057"/>
    <x v="0"/>
    <n v="2"/>
    <n v="3804.25"/>
    <n v="0.1"/>
    <n v="2800"/>
    <n v="7608.5"/>
    <n v="760.85"/>
    <n v="6847.65"/>
    <n v="5600"/>
    <n v="1247.6499999999996"/>
    <n v="0.18220119311004501"/>
  </r>
  <r>
    <s v="ORD00220"/>
    <s v="L00220"/>
    <x v="28"/>
    <x v="25"/>
    <x v="2"/>
    <s v="C0054"/>
    <x v="1"/>
    <n v="4"/>
    <n v="3559.5"/>
    <n v="0.2"/>
    <n v="2250"/>
    <n v="14238"/>
    <n v="2847.6000000000004"/>
    <n v="11390.4"/>
    <n v="9000"/>
    <n v="2390.3999999999996"/>
    <n v="0.20986093552465232"/>
  </r>
  <r>
    <s v="ORD00221"/>
    <s v="L00221"/>
    <x v="176"/>
    <x v="19"/>
    <x v="1"/>
    <s v="C0007"/>
    <x v="0"/>
    <n v="5"/>
    <n v="17523.439999999999"/>
    <n v="0.05"/>
    <n v="11850"/>
    <n v="87617.2"/>
    <n v="4380.8599999999997"/>
    <n v="83236.34"/>
    <n v="59250"/>
    <n v="23986.339999999997"/>
    <n v="0.28817148855896352"/>
  </r>
  <r>
    <s v="ORD00222"/>
    <s v="L00222"/>
    <x v="132"/>
    <x v="12"/>
    <x v="2"/>
    <s v="C0016"/>
    <x v="0"/>
    <n v="5"/>
    <n v="11999.07"/>
    <n v="0"/>
    <n v="9550"/>
    <n v="59995.35"/>
    <n v="0"/>
    <n v="59995.35"/>
    <n v="47750"/>
    <n v="12245.349999999999"/>
    <n v="0.20410498480298889"/>
  </r>
  <r>
    <s v="ORD00223"/>
    <s v="L00223"/>
    <x v="102"/>
    <x v="11"/>
    <x v="2"/>
    <s v="C0019"/>
    <x v="0"/>
    <n v="3"/>
    <n v="5799.34"/>
    <n v="0.15"/>
    <n v="3800"/>
    <n v="17398.02"/>
    <n v="2609.703"/>
    <n v="14788.317000000001"/>
    <n v="11400"/>
    <n v="3388.3170000000009"/>
    <n v="0.22912120425874025"/>
  </r>
  <r>
    <s v="ORD00224"/>
    <s v="L00224"/>
    <x v="177"/>
    <x v="11"/>
    <x v="0"/>
    <s v="C0054"/>
    <x v="1"/>
    <n v="4"/>
    <n v="5799.34"/>
    <n v="0.1"/>
    <n v="3800"/>
    <n v="23197.360000000001"/>
    <n v="2319.7360000000003"/>
    <n v="20877.624"/>
    <n v="15200"/>
    <n v="5677.6239999999998"/>
    <n v="0.27194780402214352"/>
  </r>
  <r>
    <s v="ORD00225"/>
    <s v="L00225"/>
    <x v="178"/>
    <x v="21"/>
    <x v="4"/>
    <s v="C0011"/>
    <x v="0"/>
    <n v="3"/>
    <n v="11729.87"/>
    <n v="0.05"/>
    <n v="8950"/>
    <n v="35189.61"/>
    <n v="1759.4805000000001"/>
    <n v="33430.129500000003"/>
    <n v="26850"/>
    <n v="6580.1295000000027"/>
    <n v="0.1968323066172987"/>
  </r>
  <r>
    <s v="ORD00226"/>
    <s v="L00226"/>
    <x v="179"/>
    <x v="2"/>
    <x v="1"/>
    <s v="C0019"/>
    <x v="1"/>
    <n v="3"/>
    <n v="18592.419999999998"/>
    <n v="0"/>
    <n v="14600"/>
    <n v="55777.259999999995"/>
    <n v="0"/>
    <n v="55777.259999999995"/>
    <n v="43800"/>
    <n v="11977.259999999995"/>
    <n v="0.21473374633318301"/>
  </r>
  <r>
    <s v="ORD00227"/>
    <s v="L00227"/>
    <x v="45"/>
    <x v="9"/>
    <x v="4"/>
    <s v="C0058"/>
    <x v="1"/>
    <n v="4"/>
    <n v="9389.4699999999993"/>
    <n v="0.05"/>
    <n v="7250"/>
    <n v="37557.879999999997"/>
    <n v="1877.894"/>
    <n v="35679.985999999997"/>
    <n v="29000"/>
    <n v="6679.9859999999971"/>
    <n v="0.18721941202555398"/>
  </r>
  <r>
    <s v="ORD00228"/>
    <s v="L00228"/>
    <x v="180"/>
    <x v="7"/>
    <x v="3"/>
    <s v="C0020"/>
    <x v="0"/>
    <n v="1"/>
    <n v="11889.76"/>
    <n v="0.1"/>
    <n v="9300"/>
    <n v="11889.76"/>
    <n v="1188.9760000000001"/>
    <n v="10700.784"/>
    <n v="9300"/>
    <n v="1400.7839999999997"/>
    <n v="0.1309048009940206"/>
  </r>
  <r>
    <s v="ORD00229"/>
    <s v="L00229"/>
    <x v="181"/>
    <x v="5"/>
    <x v="0"/>
    <s v="C0007"/>
    <x v="1"/>
    <n v="2"/>
    <n v="17336.23"/>
    <n v="0.1"/>
    <n v="14200"/>
    <n v="34672.46"/>
    <n v="3467.2460000000001"/>
    <n v="31205.214"/>
    <n v="28400"/>
    <n v="2805.2139999999999"/>
    <n v="8.9895682176702907E-2"/>
  </r>
  <r>
    <s v="ORD00230"/>
    <s v="L00230"/>
    <x v="182"/>
    <x v="28"/>
    <x v="4"/>
    <s v="C0077"/>
    <x v="1"/>
    <n v="1"/>
    <n v="9371.8700000000008"/>
    <n v="0"/>
    <n v="5750"/>
    <n v="9371.8700000000008"/>
    <n v="0"/>
    <n v="9371.8700000000008"/>
    <n v="5750"/>
    <n v="3621.8700000000008"/>
    <n v="0.38646182672188162"/>
  </r>
  <r>
    <s v="ORD00231"/>
    <s v="L00231"/>
    <x v="183"/>
    <x v="20"/>
    <x v="3"/>
    <s v="C0038"/>
    <x v="0"/>
    <n v="5"/>
    <n v="12166.11"/>
    <n v="0.05"/>
    <n v="7750"/>
    <n v="60830.55"/>
    <n v="3041.5275000000001"/>
    <n v="57789.022500000006"/>
    <n v="38750"/>
    <n v="19039.022500000006"/>
    <n v="0.32945742420197544"/>
  </r>
  <r>
    <s v="ORD00232"/>
    <s v="L00232"/>
    <x v="184"/>
    <x v="23"/>
    <x v="4"/>
    <s v="C0024"/>
    <x v="1"/>
    <n v="2"/>
    <n v="3694.44"/>
    <n v="0.2"/>
    <n v="3100"/>
    <n v="7388.88"/>
    <n v="1477.7760000000001"/>
    <n v="5911.1040000000003"/>
    <n v="6200"/>
    <n v="-288.89599999999973"/>
    <n v="-4.8873442253765068E-2"/>
  </r>
  <r>
    <s v="ORD00233"/>
    <s v="L00233"/>
    <x v="83"/>
    <x v="18"/>
    <x v="2"/>
    <s v="C0065"/>
    <x v="1"/>
    <n v="1"/>
    <n v="13246.95"/>
    <n v="0.2"/>
    <n v="9050"/>
    <n v="13246.95"/>
    <n v="2649.3900000000003"/>
    <n v="10597.560000000001"/>
    <n v="9050"/>
    <n v="1547.5600000000013"/>
    <n v="0.14602984083128578"/>
  </r>
  <r>
    <s v="ORD00234"/>
    <s v="L00234"/>
    <x v="101"/>
    <x v="21"/>
    <x v="1"/>
    <s v="C0033"/>
    <x v="1"/>
    <n v="1"/>
    <n v="11729.87"/>
    <n v="0.15"/>
    <n v="8950"/>
    <n v="11729.87"/>
    <n v="1759.4805000000001"/>
    <n v="9970.3895000000011"/>
    <n v="8950"/>
    <n v="1020.3895000000011"/>
    <n v="0.10234198974874563"/>
  </r>
  <r>
    <s v="ORD00235"/>
    <s v="L00235"/>
    <x v="185"/>
    <x v="0"/>
    <x v="0"/>
    <s v="C0099"/>
    <x v="0"/>
    <n v="3"/>
    <n v="6484.94"/>
    <n v="0.05"/>
    <n v="4300"/>
    <n v="19454.82"/>
    <n v="972.74099999999999"/>
    <n v="18482.078999999998"/>
    <n v="12900"/>
    <n v="5582.0789999999979"/>
    <n v="0.30202657395848154"/>
  </r>
  <r>
    <s v="ORD00236"/>
    <s v="L00236"/>
    <x v="186"/>
    <x v="3"/>
    <x v="1"/>
    <s v="C0083"/>
    <x v="1"/>
    <n v="3"/>
    <n v="13204.06"/>
    <n v="0.2"/>
    <n v="11050"/>
    <n v="39612.18"/>
    <n v="7922.4360000000006"/>
    <n v="31689.743999999999"/>
    <n v="33150"/>
    <n v="-1460.2560000000012"/>
    <n v="-4.6079766374887761E-2"/>
  </r>
  <r>
    <s v="ORD00237"/>
    <s v="L00237"/>
    <x v="187"/>
    <x v="19"/>
    <x v="3"/>
    <s v="C0009"/>
    <x v="0"/>
    <n v="4"/>
    <n v="17523.439999999999"/>
    <n v="0.05"/>
    <n v="11850"/>
    <n v="70093.759999999995"/>
    <n v="3504.6880000000001"/>
    <n v="66589.072"/>
    <n v="47400"/>
    <n v="19189.072"/>
    <n v="0.28817148855896357"/>
  </r>
  <r>
    <s v="ORD00238"/>
    <s v="L00238"/>
    <x v="188"/>
    <x v="9"/>
    <x v="3"/>
    <s v="C0006"/>
    <x v="0"/>
    <n v="2"/>
    <n v="9389.4699999999993"/>
    <n v="0"/>
    <n v="7250"/>
    <n v="18778.939999999999"/>
    <n v="0"/>
    <n v="18778.939999999999"/>
    <n v="14500"/>
    <n v="4278.9399999999987"/>
    <n v="0.2278584414242763"/>
  </r>
  <r>
    <s v="ORD00239"/>
    <s v="L00239"/>
    <x v="189"/>
    <x v="16"/>
    <x v="2"/>
    <s v="C0061"/>
    <x v="0"/>
    <n v="5"/>
    <n v="10644.48"/>
    <n v="0.15"/>
    <n v="7050"/>
    <n v="53222.399999999994"/>
    <n v="7983.3599999999988"/>
    <n v="45239.039999999994"/>
    <n v="35250"/>
    <n v="9989.0399999999936"/>
    <n v="0.22080574654104054"/>
  </r>
  <r>
    <s v="ORD00240"/>
    <s v="L00240"/>
    <x v="190"/>
    <x v="9"/>
    <x v="0"/>
    <s v="C0084"/>
    <x v="0"/>
    <n v="3"/>
    <n v="9389.4699999999993"/>
    <n v="0.1"/>
    <n v="7250"/>
    <n v="28168.409999999996"/>
    <n v="2816.8409999999999"/>
    <n v="25351.568999999996"/>
    <n v="21750"/>
    <n v="3601.5689999999959"/>
    <n v="0.14206493491586247"/>
  </r>
  <r>
    <s v="ORD00241"/>
    <s v="L00241"/>
    <x v="96"/>
    <x v="13"/>
    <x v="4"/>
    <s v="C0096"/>
    <x v="0"/>
    <n v="3"/>
    <n v="19555.88"/>
    <n v="0.15"/>
    <n v="14200"/>
    <n v="58667.64"/>
    <n v="8800.1459999999988"/>
    <n v="49867.493999999999"/>
    <n v="42600"/>
    <n v="7267.4939999999988"/>
    <n v="0.14573609814842509"/>
  </r>
  <r>
    <s v="ORD00242"/>
    <s v="L00242"/>
    <x v="191"/>
    <x v="7"/>
    <x v="4"/>
    <s v="C0089"/>
    <x v="0"/>
    <n v="3"/>
    <n v="11889.76"/>
    <n v="0.05"/>
    <n v="9300"/>
    <n v="35669.279999999999"/>
    <n v="1783.4639999999999"/>
    <n v="33885.815999999999"/>
    <n v="27900"/>
    <n v="5985.8159999999989"/>
    <n v="0.17664665357328266"/>
  </r>
  <r>
    <s v="ORD00243"/>
    <s v="L00243"/>
    <x v="192"/>
    <x v="0"/>
    <x v="4"/>
    <s v="C0011"/>
    <x v="0"/>
    <n v="3"/>
    <n v="6484.94"/>
    <n v="0"/>
    <n v="4300"/>
    <n v="19454.82"/>
    <n v="0"/>
    <n v="19454.82"/>
    <n v="12900"/>
    <n v="6554.82"/>
    <n v="0.3369252452605575"/>
  </r>
  <r>
    <s v="ORD00244"/>
    <s v="L00244"/>
    <x v="120"/>
    <x v="15"/>
    <x v="1"/>
    <s v="C0014"/>
    <x v="1"/>
    <n v="5"/>
    <n v="12048.66"/>
    <n v="0.1"/>
    <n v="9900"/>
    <n v="60243.3"/>
    <n v="6024.3300000000008"/>
    <n v="54218.97"/>
    <n v="49500"/>
    <n v="4718.9700000000012"/>
    <n v="8.7035404767003152E-2"/>
  </r>
  <r>
    <s v="ORD00245"/>
    <s v="L00245"/>
    <x v="43"/>
    <x v="26"/>
    <x v="2"/>
    <s v="C0092"/>
    <x v="0"/>
    <n v="3"/>
    <n v="614.66"/>
    <n v="0.15"/>
    <n v="400"/>
    <n v="1843.98"/>
    <n v="276.59699999999998"/>
    <n v="1567.383"/>
    <n v="1200"/>
    <n v="367.38300000000004"/>
    <n v="0.23439261495116384"/>
  </r>
  <r>
    <s v="ORD00246"/>
    <s v="L00246"/>
    <x v="135"/>
    <x v="27"/>
    <x v="0"/>
    <s v="C0094"/>
    <x v="0"/>
    <n v="3"/>
    <n v="3335.18"/>
    <n v="0.15"/>
    <n v="2600"/>
    <n v="10005.539999999999"/>
    <n v="1500.8309999999999"/>
    <n v="8504.7089999999989"/>
    <n v="7800"/>
    <n v="704.70899999999892"/>
    <n v="8.286103616243648E-2"/>
  </r>
  <r>
    <s v="ORD00247"/>
    <s v="L00247"/>
    <x v="193"/>
    <x v="15"/>
    <x v="0"/>
    <s v="C0086"/>
    <x v="0"/>
    <n v="3"/>
    <n v="12048.66"/>
    <n v="0"/>
    <n v="9900"/>
    <n v="36145.979999999996"/>
    <n v="0"/>
    <n v="36145.979999999996"/>
    <n v="29700"/>
    <n v="6445.9799999999959"/>
    <n v="0.17833186429030273"/>
  </r>
  <r>
    <s v="ORD00248"/>
    <s v="L00248"/>
    <x v="194"/>
    <x v="0"/>
    <x v="3"/>
    <s v="C0078"/>
    <x v="0"/>
    <n v="2"/>
    <n v="6484.94"/>
    <n v="0"/>
    <n v="4300"/>
    <n v="12969.88"/>
    <n v="0"/>
    <n v="12969.88"/>
    <n v="8600"/>
    <n v="4369.8799999999992"/>
    <n v="0.3369252452605575"/>
  </r>
  <r>
    <s v="ORD00249"/>
    <s v="L00249"/>
    <x v="139"/>
    <x v="9"/>
    <x v="1"/>
    <s v="C0047"/>
    <x v="0"/>
    <n v="1"/>
    <n v="9389.4699999999993"/>
    <n v="0.05"/>
    <n v="7250"/>
    <n v="9389.4699999999993"/>
    <n v="469.4735"/>
    <n v="8919.9964999999993"/>
    <n v="7250"/>
    <n v="1669.9964999999993"/>
    <n v="0.18721941202555398"/>
  </r>
  <r>
    <s v="ORD00250"/>
    <s v="L00250"/>
    <x v="195"/>
    <x v="6"/>
    <x v="4"/>
    <s v="C0048"/>
    <x v="0"/>
    <n v="5"/>
    <n v="17279.419999999998"/>
    <n v="0.05"/>
    <n v="13950"/>
    <n v="86397.099999999991"/>
    <n v="4319.8549999999996"/>
    <n v="82077.244999999995"/>
    <n v="69750"/>
    <n v="12327.244999999995"/>
    <n v="0.15019077455633406"/>
  </r>
  <r>
    <s v="ORD00251"/>
    <s v="L00251"/>
    <x v="196"/>
    <x v="17"/>
    <x v="2"/>
    <s v="C0047"/>
    <x v="0"/>
    <n v="5"/>
    <n v="10868.14"/>
    <n v="0.05"/>
    <n v="8850"/>
    <n v="54340.7"/>
    <n v="2717.0349999999999"/>
    <n v="51623.664999999994"/>
    <n v="44250"/>
    <n v="7373.6649999999936"/>
    <n v="0.14283497694322933"/>
  </r>
  <r>
    <s v="ORD00252"/>
    <s v="L00252"/>
    <x v="149"/>
    <x v="26"/>
    <x v="0"/>
    <s v="C0095"/>
    <x v="1"/>
    <n v="2"/>
    <n v="614.66"/>
    <n v="0"/>
    <n v="400"/>
    <n v="1229.32"/>
    <n v="0"/>
    <n v="1229.32"/>
    <n v="800"/>
    <n v="429.31999999999994"/>
    <n v="0.34923372270848924"/>
  </r>
  <r>
    <s v="ORD00253"/>
    <s v="L00253"/>
    <x v="197"/>
    <x v="1"/>
    <x v="0"/>
    <s v="C0034"/>
    <x v="0"/>
    <n v="4"/>
    <n v="12193.29"/>
    <n v="0.2"/>
    <n v="9950"/>
    <n v="48773.16"/>
    <n v="9754.6320000000014"/>
    <n v="39018.528000000006"/>
    <n v="39800"/>
    <n v="-781.4719999999943"/>
    <n v="-2.0028228640506227E-2"/>
  </r>
  <r>
    <s v="ORD00254"/>
    <s v="L00254"/>
    <x v="198"/>
    <x v="24"/>
    <x v="1"/>
    <s v="C0089"/>
    <x v="0"/>
    <n v="2"/>
    <n v="2403.0700000000002"/>
    <n v="0.2"/>
    <n v="2000"/>
    <n v="4806.1400000000003"/>
    <n v="961.22800000000007"/>
    <n v="3844.9120000000003"/>
    <n v="4000"/>
    <n v="-155.08799999999974"/>
    <n v="-4.0335903656572566E-2"/>
  </r>
  <r>
    <s v="ORD00255"/>
    <s v="L00255"/>
    <x v="146"/>
    <x v="4"/>
    <x v="4"/>
    <s v="C0023"/>
    <x v="0"/>
    <n v="2"/>
    <n v="19237.78"/>
    <n v="0"/>
    <n v="13150"/>
    <n v="38475.56"/>
    <n v="0"/>
    <n v="38475.56"/>
    <n v="26300"/>
    <n v="12175.559999999998"/>
    <n v="0.31644919528136817"/>
  </r>
  <r>
    <s v="ORD00256"/>
    <s v="L00256"/>
    <x v="199"/>
    <x v="11"/>
    <x v="2"/>
    <s v="C0070"/>
    <x v="0"/>
    <n v="3"/>
    <n v="5799.34"/>
    <n v="0"/>
    <n v="3800"/>
    <n v="17398.02"/>
    <n v="0"/>
    <n v="17398.02"/>
    <n v="11400"/>
    <n v="5998.02"/>
    <n v="0.34475302361992916"/>
  </r>
  <r>
    <s v="ORD00257"/>
    <s v="L00257"/>
    <x v="23"/>
    <x v="7"/>
    <x v="1"/>
    <s v="C0066"/>
    <x v="1"/>
    <n v="2"/>
    <n v="11889.76"/>
    <n v="0.05"/>
    <n v="9300"/>
    <n v="23779.52"/>
    <n v="1188.9760000000001"/>
    <n v="22590.544000000002"/>
    <n v="18600"/>
    <n v="3990.5440000000017"/>
    <n v="0.17664665357328277"/>
  </r>
  <r>
    <s v="ORD00258"/>
    <s v="L00258"/>
    <x v="4"/>
    <x v="5"/>
    <x v="4"/>
    <s v="C0004"/>
    <x v="0"/>
    <n v="2"/>
    <n v="17336.23"/>
    <n v="0.05"/>
    <n v="14200"/>
    <n v="34672.46"/>
    <n v="1733.623"/>
    <n v="32938.837"/>
    <n v="28400"/>
    <n v="4538.8369999999995"/>
    <n v="0.13779590943056064"/>
  </r>
  <r>
    <s v="ORD00259"/>
    <s v="L00259"/>
    <x v="200"/>
    <x v="10"/>
    <x v="3"/>
    <s v="C0079"/>
    <x v="1"/>
    <n v="4"/>
    <n v="2056.0100000000002"/>
    <n v="0.2"/>
    <n v="1350"/>
    <n v="8224.0400000000009"/>
    <n v="1644.8080000000002"/>
    <n v="6579.2320000000009"/>
    <n v="5400"/>
    <n v="1179.2320000000009"/>
    <n v="0.17923550955491471"/>
  </r>
  <r>
    <s v="ORD00260"/>
    <s v="L00260"/>
    <x v="201"/>
    <x v="11"/>
    <x v="2"/>
    <s v="C0053"/>
    <x v="0"/>
    <n v="4"/>
    <n v="5799.34"/>
    <n v="0.15"/>
    <n v="3800"/>
    <n v="23197.360000000001"/>
    <n v="3479.6039999999998"/>
    <n v="19717.756000000001"/>
    <n v="15200"/>
    <n v="4517.7560000000012"/>
    <n v="0.22912120425874025"/>
  </r>
  <r>
    <s v="ORD00261"/>
    <s v="L00261"/>
    <x v="202"/>
    <x v="19"/>
    <x v="0"/>
    <s v="C0058"/>
    <x v="0"/>
    <n v="2"/>
    <n v="17523.439999999999"/>
    <n v="0.1"/>
    <n v="11850"/>
    <n v="35046.879999999997"/>
    <n v="3504.6880000000001"/>
    <n v="31542.191999999995"/>
    <n v="23700"/>
    <n v="7842.1919999999955"/>
    <n v="0.24862546014557252"/>
  </r>
  <r>
    <s v="ORD00262"/>
    <s v="L00262"/>
    <x v="203"/>
    <x v="8"/>
    <x v="2"/>
    <s v="C0082"/>
    <x v="1"/>
    <n v="3"/>
    <n v="13787.88"/>
    <n v="0.05"/>
    <n v="9500"/>
    <n v="41363.64"/>
    <n v="2068.1820000000002"/>
    <n v="39295.457999999999"/>
    <n v="28500"/>
    <n v="10795.457999999999"/>
    <n v="0.27472533848568448"/>
  </r>
  <r>
    <s v="ORD00263"/>
    <s v="L00263"/>
    <x v="204"/>
    <x v="25"/>
    <x v="0"/>
    <s v="C0016"/>
    <x v="1"/>
    <n v="4"/>
    <n v="3559.5"/>
    <n v="0.2"/>
    <n v="2250"/>
    <n v="14238"/>
    <n v="2847.6000000000004"/>
    <n v="11390.4"/>
    <n v="9000"/>
    <n v="2390.3999999999996"/>
    <n v="0.20986093552465232"/>
  </r>
  <r>
    <s v="ORD00264"/>
    <s v="L00264"/>
    <x v="129"/>
    <x v="22"/>
    <x v="3"/>
    <s v="C0045"/>
    <x v="0"/>
    <n v="2"/>
    <n v="17046.37"/>
    <n v="0.1"/>
    <n v="11700"/>
    <n v="34092.74"/>
    <n v="3409.2739999999999"/>
    <n v="30683.465999999997"/>
    <n v="23400"/>
    <n v="7283.4659999999967"/>
    <n v="0.23737429141805549"/>
  </r>
  <r>
    <s v="ORD00265"/>
    <s v="L00265"/>
    <x v="2"/>
    <x v="12"/>
    <x v="2"/>
    <s v="C0036"/>
    <x v="1"/>
    <n v="3"/>
    <n v="11999.07"/>
    <n v="0.05"/>
    <n v="9550"/>
    <n v="35997.21"/>
    <n v="1799.8605"/>
    <n v="34197.349499999997"/>
    <n v="28650"/>
    <n v="5547.3494999999966"/>
    <n v="0.16221577347683033"/>
  </r>
  <r>
    <s v="ORD00266"/>
    <s v="L00266"/>
    <x v="162"/>
    <x v="20"/>
    <x v="0"/>
    <s v="C0065"/>
    <x v="1"/>
    <n v="5"/>
    <n v="12166.11"/>
    <n v="0.2"/>
    <n v="7750"/>
    <n v="60830.55"/>
    <n v="12166.11"/>
    <n v="48664.44"/>
    <n v="38750"/>
    <n v="9914.4400000000023"/>
    <n v="0.2037306912398458"/>
  </r>
  <r>
    <s v="ORD00267"/>
    <s v="L00267"/>
    <x v="205"/>
    <x v="6"/>
    <x v="2"/>
    <s v="C0044"/>
    <x v="1"/>
    <n v="2"/>
    <n v="17279.419999999998"/>
    <n v="0.2"/>
    <n v="13950"/>
    <n v="34558.839999999997"/>
    <n v="6911.768"/>
    <n v="27647.071999999996"/>
    <n v="27900"/>
    <n v="-252.92800000000352"/>
    <n v="-9.1484552143533873E-3"/>
  </r>
  <r>
    <s v="ORD00268"/>
    <s v="L00268"/>
    <x v="206"/>
    <x v="19"/>
    <x v="2"/>
    <s v="C0034"/>
    <x v="1"/>
    <n v="1"/>
    <n v="17523.439999999999"/>
    <n v="0"/>
    <n v="11850"/>
    <n v="17523.439999999999"/>
    <n v="0"/>
    <n v="17523.439999999999"/>
    <n v="11850"/>
    <n v="5673.4399999999987"/>
    <n v="0.32376291413101532"/>
  </r>
  <r>
    <s v="ORD00269"/>
    <s v="L00269"/>
    <x v="89"/>
    <x v="25"/>
    <x v="4"/>
    <s v="C0081"/>
    <x v="0"/>
    <n v="5"/>
    <n v="3559.5"/>
    <n v="0"/>
    <n v="2250"/>
    <n v="17797.5"/>
    <n v="0"/>
    <n v="17797.5"/>
    <n v="11250"/>
    <n v="6547.5"/>
    <n v="0.36788874841972186"/>
  </r>
  <r>
    <s v="ORD00270"/>
    <s v="L00270"/>
    <x v="26"/>
    <x v="20"/>
    <x v="4"/>
    <s v="C0039"/>
    <x v="0"/>
    <n v="4"/>
    <n v="12166.11"/>
    <n v="0.05"/>
    <n v="7750"/>
    <n v="48664.44"/>
    <n v="2433.2220000000002"/>
    <n v="46231.218000000001"/>
    <n v="31000"/>
    <n v="15231.218000000001"/>
    <n v="0.32945742420197538"/>
  </r>
  <r>
    <s v="ORD00271"/>
    <s v="L00271"/>
    <x v="95"/>
    <x v="11"/>
    <x v="4"/>
    <s v="C0062"/>
    <x v="0"/>
    <n v="2"/>
    <n v="5799.34"/>
    <n v="0.15"/>
    <n v="3800"/>
    <n v="11598.68"/>
    <n v="1739.8019999999999"/>
    <n v="9858.8780000000006"/>
    <n v="7600"/>
    <n v="2258.8780000000006"/>
    <n v="0.22912120425874025"/>
  </r>
  <r>
    <s v="ORD00272"/>
    <s v="L00272"/>
    <x v="207"/>
    <x v="4"/>
    <x v="1"/>
    <s v="C0092"/>
    <x v="0"/>
    <n v="5"/>
    <n v="19237.78"/>
    <n v="0.05"/>
    <n v="13150"/>
    <n v="96188.9"/>
    <n v="4809.4449999999997"/>
    <n v="91379.454999999987"/>
    <n v="65750"/>
    <n v="25629.454999999987"/>
    <n v="0.28047283713828225"/>
  </r>
  <r>
    <s v="ORD00273"/>
    <s v="L00273"/>
    <x v="208"/>
    <x v="14"/>
    <x v="1"/>
    <s v="C0066"/>
    <x v="1"/>
    <n v="4"/>
    <n v="9337.2199999999993"/>
    <n v="0.05"/>
    <n v="6050"/>
    <n v="37348.879999999997"/>
    <n v="1867.444"/>
    <n v="35481.435999999994"/>
    <n v="24200"/>
    <n v="11281.435999999994"/>
    <n v="0.31795319670827293"/>
  </r>
  <r>
    <s v="ORD00274"/>
    <s v="L00274"/>
    <x v="209"/>
    <x v="26"/>
    <x v="1"/>
    <s v="C0058"/>
    <x v="1"/>
    <n v="4"/>
    <n v="614.66"/>
    <n v="0"/>
    <n v="400"/>
    <n v="2458.64"/>
    <n v="0"/>
    <n v="2458.64"/>
    <n v="1600"/>
    <n v="858.63999999999987"/>
    <n v="0.34923372270848924"/>
  </r>
  <r>
    <s v="ORD00275"/>
    <s v="L00275"/>
    <x v="127"/>
    <x v="3"/>
    <x v="4"/>
    <s v="C0079"/>
    <x v="0"/>
    <n v="1"/>
    <n v="13204.06"/>
    <n v="0.1"/>
    <n v="11050"/>
    <n v="13204.06"/>
    <n v="1320.4059999999999"/>
    <n v="11883.653999999999"/>
    <n v="11050"/>
    <n v="833.65399999999863"/>
    <n v="7.0151318777877475E-2"/>
  </r>
  <r>
    <s v="ORD00276"/>
    <s v="L00276"/>
    <x v="210"/>
    <x v="2"/>
    <x v="1"/>
    <s v="C0025"/>
    <x v="1"/>
    <n v="3"/>
    <n v="18592.419999999998"/>
    <n v="0.2"/>
    <n v="14600"/>
    <n v="55777.259999999995"/>
    <n v="11155.451999999999"/>
    <n v="44621.807999999997"/>
    <n v="43800"/>
    <n v="821.80799999999726"/>
    <n v="1.8417182916478807E-2"/>
  </r>
  <r>
    <s v="ORD00277"/>
    <s v="L00277"/>
    <x v="183"/>
    <x v="1"/>
    <x v="1"/>
    <s v="C0064"/>
    <x v="1"/>
    <n v="4"/>
    <n v="12193.29"/>
    <n v="0.15"/>
    <n v="9950"/>
    <n v="48773.16"/>
    <n v="7315.9740000000002"/>
    <n v="41457.186000000002"/>
    <n v="39800"/>
    <n v="1657.1860000000015"/>
    <n v="3.9973431867758737E-2"/>
  </r>
  <r>
    <s v="ORD00278"/>
    <s v="L00278"/>
    <x v="211"/>
    <x v="11"/>
    <x v="3"/>
    <s v="C0028"/>
    <x v="0"/>
    <n v="5"/>
    <n v="5799.34"/>
    <n v="0.15"/>
    <n v="3800"/>
    <n v="28996.7"/>
    <n v="4349.5050000000001"/>
    <n v="24647.195"/>
    <n v="19000"/>
    <n v="5647.1949999999997"/>
    <n v="0.22912120425874019"/>
  </r>
  <r>
    <s v="ORD00279"/>
    <s v="L00279"/>
    <x v="212"/>
    <x v="9"/>
    <x v="2"/>
    <s v="C0084"/>
    <x v="0"/>
    <n v="3"/>
    <n v="9389.4699999999993"/>
    <n v="0.15"/>
    <n v="7250"/>
    <n v="28168.409999999996"/>
    <n v="4225.2614999999996"/>
    <n v="23943.148499999996"/>
    <n v="21750"/>
    <n v="2193.1484999999957"/>
    <n v="9.1598166381501422E-2"/>
  </r>
  <r>
    <s v="ORD00280"/>
    <s v="L00280"/>
    <x v="213"/>
    <x v="22"/>
    <x v="3"/>
    <s v="C0034"/>
    <x v="0"/>
    <n v="1"/>
    <n v="17046.37"/>
    <n v="0.15"/>
    <n v="11700"/>
    <n v="17046.37"/>
    <n v="2556.9554999999996"/>
    <n v="14489.414499999999"/>
    <n v="11700"/>
    <n v="2789.414499999999"/>
    <n v="0.1925139556191176"/>
  </r>
  <r>
    <s v="ORD00281"/>
    <s v="L00281"/>
    <x v="11"/>
    <x v="25"/>
    <x v="4"/>
    <s v="C0007"/>
    <x v="1"/>
    <n v="3"/>
    <n v="3559.5"/>
    <n v="0"/>
    <n v="2250"/>
    <n v="10678.5"/>
    <n v="0"/>
    <n v="10678.5"/>
    <n v="6750"/>
    <n v="3928.5"/>
    <n v="0.36788874841972186"/>
  </r>
  <r>
    <s v="ORD00282"/>
    <s v="L00282"/>
    <x v="181"/>
    <x v="0"/>
    <x v="2"/>
    <s v="C0058"/>
    <x v="0"/>
    <n v="1"/>
    <n v="6484.94"/>
    <n v="0.15"/>
    <n v="4300"/>
    <n v="6484.94"/>
    <n v="972.74099999999987"/>
    <n v="5512.1989999999996"/>
    <n v="4300"/>
    <n v="1212.1989999999996"/>
    <n v="0.21991205324771471"/>
  </r>
  <r>
    <s v="ORD00283"/>
    <s v="L00283"/>
    <x v="214"/>
    <x v="19"/>
    <x v="4"/>
    <s v="C0048"/>
    <x v="0"/>
    <n v="2"/>
    <n v="17523.439999999999"/>
    <n v="0"/>
    <n v="11850"/>
    <n v="35046.879999999997"/>
    <n v="0"/>
    <n v="35046.879999999997"/>
    <n v="23700"/>
    <n v="11346.879999999997"/>
    <n v="0.32376291413101532"/>
  </r>
  <r>
    <s v="ORD00284"/>
    <s v="L00284"/>
    <x v="215"/>
    <x v="10"/>
    <x v="2"/>
    <s v="C0066"/>
    <x v="0"/>
    <n v="2"/>
    <n v="2056.0100000000002"/>
    <n v="0.05"/>
    <n v="1350"/>
    <n v="4112.0200000000004"/>
    <n v="205.60100000000003"/>
    <n v="3906.4190000000003"/>
    <n v="2700"/>
    <n v="1206.4190000000003"/>
    <n v="0.30882990278308603"/>
  </r>
  <r>
    <s v="ORD00285"/>
    <s v="L00285"/>
    <x v="216"/>
    <x v="18"/>
    <x v="3"/>
    <s v="C0092"/>
    <x v="0"/>
    <n v="1"/>
    <n v="13246.95"/>
    <n v="0"/>
    <n v="9050"/>
    <n v="13246.95"/>
    <n v="0"/>
    <n v="13246.95"/>
    <n v="9050"/>
    <n v="4196.9500000000007"/>
    <n v="0.31682387266502859"/>
  </r>
  <r>
    <s v="ORD00286"/>
    <s v="L00286"/>
    <x v="217"/>
    <x v="29"/>
    <x v="3"/>
    <s v="C0078"/>
    <x v="1"/>
    <n v="5"/>
    <n v="3804.25"/>
    <n v="0.15"/>
    <n v="2800"/>
    <n v="19021.25"/>
    <n v="2853.1875"/>
    <n v="16168.0625"/>
    <n v="14000"/>
    <n v="2168.0625"/>
    <n v="0.13409538094004769"/>
  </r>
  <r>
    <s v="ORD00287"/>
    <s v="L00287"/>
    <x v="218"/>
    <x v="26"/>
    <x v="2"/>
    <s v="C0095"/>
    <x v="0"/>
    <n v="2"/>
    <n v="614.66"/>
    <n v="0.15"/>
    <n v="400"/>
    <n v="1229.32"/>
    <n v="184.398"/>
    <n v="1044.922"/>
    <n v="800"/>
    <n v="244.92200000000003"/>
    <n v="0.23439261495116384"/>
  </r>
  <r>
    <s v="ORD00288"/>
    <s v="L00288"/>
    <x v="219"/>
    <x v="6"/>
    <x v="2"/>
    <s v="C0063"/>
    <x v="0"/>
    <n v="5"/>
    <n v="17279.419999999998"/>
    <n v="0.2"/>
    <n v="13950"/>
    <n v="86397.099999999991"/>
    <n v="17279.419999999998"/>
    <n v="69117.679999999993"/>
    <n v="69750"/>
    <n v="-632.32000000000698"/>
    <n v="-9.1484552143533612E-3"/>
  </r>
  <r>
    <s v="ORD00289"/>
    <s v="L00289"/>
    <x v="220"/>
    <x v="1"/>
    <x v="0"/>
    <s v="C0054"/>
    <x v="0"/>
    <n v="3"/>
    <n v="12193.29"/>
    <n v="0.1"/>
    <n v="9950"/>
    <n v="36579.870000000003"/>
    <n v="3657.9870000000005"/>
    <n v="32921.883000000002"/>
    <n v="29850"/>
    <n v="3071.8830000000016"/>
    <n v="9.3308241208438822E-2"/>
  </r>
  <r>
    <s v="ORD00290"/>
    <s v="L00290"/>
    <x v="221"/>
    <x v="29"/>
    <x v="1"/>
    <s v="C0084"/>
    <x v="1"/>
    <n v="5"/>
    <n v="3804.25"/>
    <n v="0.15"/>
    <n v="2800"/>
    <n v="19021.25"/>
    <n v="2853.1875"/>
    <n v="16168.0625"/>
    <n v="14000"/>
    <n v="2168.0625"/>
    <n v="0.13409538094004769"/>
  </r>
  <r>
    <s v="ORD00291"/>
    <s v="L00291"/>
    <x v="222"/>
    <x v="14"/>
    <x v="3"/>
    <s v="C0068"/>
    <x v="0"/>
    <n v="5"/>
    <n v="9337.2199999999993"/>
    <n v="0.15"/>
    <n v="6050"/>
    <n v="46686.1"/>
    <n v="7002.915"/>
    <n v="39683.184999999998"/>
    <n v="30250"/>
    <n v="9433.1849999999977"/>
    <n v="0.23771239632101099"/>
  </r>
  <r>
    <s v="ORD00292"/>
    <s v="L00292"/>
    <x v="223"/>
    <x v="3"/>
    <x v="0"/>
    <s v="C0025"/>
    <x v="1"/>
    <n v="1"/>
    <n v="13204.06"/>
    <n v="0.2"/>
    <n v="11050"/>
    <n v="13204.06"/>
    <n v="2640.8119999999999"/>
    <n v="10563.248"/>
    <n v="11050"/>
    <n v="-486.75200000000041"/>
    <n v="-4.6079766374887761E-2"/>
  </r>
  <r>
    <s v="ORD00293"/>
    <s v="L00293"/>
    <x v="18"/>
    <x v="17"/>
    <x v="4"/>
    <s v="C0089"/>
    <x v="1"/>
    <n v="4"/>
    <n v="10868.14"/>
    <n v="0.05"/>
    <n v="8850"/>
    <n v="43472.56"/>
    <n v="2173.6280000000002"/>
    <n v="41298.932000000001"/>
    <n v="35400"/>
    <n v="5898.9320000000007"/>
    <n v="0.14283497694322944"/>
  </r>
  <r>
    <s v="ORD00294"/>
    <s v="L00294"/>
    <x v="224"/>
    <x v="28"/>
    <x v="0"/>
    <s v="C0091"/>
    <x v="1"/>
    <n v="5"/>
    <n v="9371.8700000000008"/>
    <n v="0.15"/>
    <n v="5750"/>
    <n v="46859.350000000006"/>
    <n v="7028.9025000000011"/>
    <n v="39830.447500000002"/>
    <n v="28750"/>
    <n v="11080.447500000002"/>
    <n v="0.27819038437868421"/>
  </r>
  <r>
    <s v="ORD00295"/>
    <s v="L00295"/>
    <x v="137"/>
    <x v="18"/>
    <x v="4"/>
    <s v="C0068"/>
    <x v="0"/>
    <n v="5"/>
    <n v="13246.95"/>
    <n v="0.1"/>
    <n v="9050"/>
    <n v="66234.75"/>
    <n v="6623.4750000000004"/>
    <n v="59611.275000000001"/>
    <n v="45250"/>
    <n v="14361.275000000001"/>
    <n v="0.24091541407225397"/>
  </r>
  <r>
    <s v="ORD00296"/>
    <s v="L00296"/>
    <x v="225"/>
    <x v="26"/>
    <x v="1"/>
    <s v="C0070"/>
    <x v="0"/>
    <n v="4"/>
    <n v="614.66"/>
    <n v="0.2"/>
    <n v="400"/>
    <n v="2458.64"/>
    <n v="491.72800000000001"/>
    <n v="1966.9119999999998"/>
    <n v="1600"/>
    <n v="366.91199999999981"/>
    <n v="0.18654215338561148"/>
  </r>
  <r>
    <s v="ORD00297"/>
    <s v="L00297"/>
    <x v="226"/>
    <x v="8"/>
    <x v="3"/>
    <s v="C0032"/>
    <x v="0"/>
    <n v="5"/>
    <n v="13787.88"/>
    <n v="0.15"/>
    <n v="9500"/>
    <n v="68939.399999999994"/>
    <n v="10340.909999999998"/>
    <n v="58598.49"/>
    <n v="47500"/>
    <n v="11098.489999999998"/>
    <n v="0.18939890771929443"/>
  </r>
  <r>
    <s v="ORD00298"/>
    <s v="L00298"/>
    <x v="227"/>
    <x v="10"/>
    <x v="1"/>
    <s v="C0091"/>
    <x v="1"/>
    <n v="2"/>
    <n v="2056.0100000000002"/>
    <n v="0.1"/>
    <n v="1350"/>
    <n v="4112.0200000000004"/>
    <n v="411.20200000000006"/>
    <n v="3700.8180000000002"/>
    <n v="2700"/>
    <n v="1000.8180000000002"/>
    <n v="0.27043156404881302"/>
  </r>
  <r>
    <s v="ORD00299"/>
    <s v="L00299"/>
    <x v="29"/>
    <x v="24"/>
    <x v="1"/>
    <s v="C0072"/>
    <x v="0"/>
    <n v="3"/>
    <n v="2403.0700000000002"/>
    <n v="0.15"/>
    <n v="2000"/>
    <n v="7209.2100000000009"/>
    <n v="1081.3815000000002"/>
    <n v="6127.8285000000005"/>
    <n v="6000"/>
    <n v="127.82850000000053"/>
    <n v="2.0860325970284664E-2"/>
  </r>
  <r>
    <s v="ORD00300"/>
    <s v="L00300"/>
    <x v="228"/>
    <x v="22"/>
    <x v="4"/>
    <s v="C0051"/>
    <x v="0"/>
    <n v="5"/>
    <n v="17046.37"/>
    <n v="0.2"/>
    <n v="11700"/>
    <n v="85231.849999999991"/>
    <n v="17046.37"/>
    <n v="68185.48"/>
    <n v="58500"/>
    <n v="9685.4799999999959"/>
    <n v="0.14204607784531248"/>
  </r>
  <r>
    <s v="ORD00301"/>
    <s v="L00301"/>
    <x v="229"/>
    <x v="25"/>
    <x v="1"/>
    <s v="C0092"/>
    <x v="1"/>
    <n v="3"/>
    <n v="3559.5"/>
    <n v="0"/>
    <n v="2250"/>
    <n v="10678.5"/>
    <n v="0"/>
    <n v="10678.5"/>
    <n v="6750"/>
    <n v="3928.5"/>
    <n v="0.36788874841972186"/>
  </r>
  <r>
    <s v="ORD00302"/>
    <s v="L00302"/>
    <x v="46"/>
    <x v="0"/>
    <x v="3"/>
    <s v="C0026"/>
    <x v="0"/>
    <n v="3"/>
    <n v="6484.94"/>
    <n v="0.15"/>
    <n v="4300"/>
    <n v="19454.82"/>
    <n v="2918.223"/>
    <n v="16536.597000000002"/>
    <n v="12900"/>
    <n v="3636.5970000000016"/>
    <n v="0.21991205324771482"/>
  </r>
  <r>
    <s v="ORD00303"/>
    <s v="L00303"/>
    <x v="230"/>
    <x v="16"/>
    <x v="2"/>
    <s v="C0095"/>
    <x v="1"/>
    <n v="2"/>
    <n v="10644.48"/>
    <n v="0"/>
    <n v="7050"/>
    <n v="21288.959999999999"/>
    <n v="0"/>
    <n v="21288.959999999999"/>
    <n v="14100"/>
    <n v="7188.9599999999991"/>
    <n v="0.33768488455988455"/>
  </r>
  <r>
    <s v="ORD00304"/>
    <s v="L00304"/>
    <x v="212"/>
    <x v="2"/>
    <x v="3"/>
    <s v="C0007"/>
    <x v="1"/>
    <n v="5"/>
    <n v="18592.419999999998"/>
    <n v="0.05"/>
    <n v="14600"/>
    <n v="92962.099999999991"/>
    <n v="4648.1049999999996"/>
    <n v="88313.994999999995"/>
    <n v="73000"/>
    <n v="15313.994999999995"/>
    <n v="0.17340394350861374"/>
  </r>
  <r>
    <s v="ORD00305"/>
    <s v="L00305"/>
    <x v="231"/>
    <x v="28"/>
    <x v="3"/>
    <s v="C0001"/>
    <x v="1"/>
    <n v="4"/>
    <n v="9371.8700000000008"/>
    <n v="0"/>
    <n v="5750"/>
    <n v="37487.480000000003"/>
    <n v="0"/>
    <n v="37487.480000000003"/>
    <n v="23000"/>
    <n v="14487.480000000003"/>
    <n v="0.38646182672188162"/>
  </r>
  <r>
    <s v="ORD00306"/>
    <s v="L00306"/>
    <x v="232"/>
    <x v="28"/>
    <x v="1"/>
    <s v="C0042"/>
    <x v="0"/>
    <n v="4"/>
    <n v="9371.8700000000008"/>
    <n v="0.05"/>
    <n v="5750"/>
    <n v="37487.480000000003"/>
    <n v="1874.3740000000003"/>
    <n v="35613.106"/>
    <n v="23000"/>
    <n v="12613.106"/>
    <n v="0.35417034391777003"/>
  </r>
  <r>
    <s v="ORD00307"/>
    <s v="L00307"/>
    <x v="233"/>
    <x v="20"/>
    <x v="3"/>
    <s v="C0069"/>
    <x v="1"/>
    <n v="1"/>
    <n v="12166.11"/>
    <n v="0.2"/>
    <n v="7750"/>
    <n v="12166.11"/>
    <n v="2433.2220000000002"/>
    <n v="9732.8880000000008"/>
    <n v="7750"/>
    <n v="1982.8880000000008"/>
    <n v="0.20373069123984583"/>
  </r>
  <r>
    <s v="ORD00308"/>
    <s v="L00308"/>
    <x v="234"/>
    <x v="16"/>
    <x v="0"/>
    <s v="C0051"/>
    <x v="0"/>
    <n v="4"/>
    <n v="10644.48"/>
    <n v="0.05"/>
    <n v="7050"/>
    <n v="42577.919999999998"/>
    <n v="2128.8960000000002"/>
    <n v="40449.023999999998"/>
    <n v="28200"/>
    <n v="12249.023999999998"/>
    <n v="0.30282619427356267"/>
  </r>
  <r>
    <s v="ORD00309"/>
    <s v="L00309"/>
    <x v="235"/>
    <x v="27"/>
    <x v="1"/>
    <s v="C0073"/>
    <x v="1"/>
    <n v="1"/>
    <n v="3335.18"/>
    <n v="0"/>
    <n v="2600"/>
    <n v="3335.18"/>
    <n v="0"/>
    <n v="3335.18"/>
    <n v="2600"/>
    <n v="735.17999999999984"/>
    <n v="0.22043188073807107"/>
  </r>
  <r>
    <s v="ORD00310"/>
    <s v="L00310"/>
    <x v="236"/>
    <x v="16"/>
    <x v="2"/>
    <s v="C0068"/>
    <x v="0"/>
    <n v="3"/>
    <n v="10644.48"/>
    <n v="0.15"/>
    <n v="7050"/>
    <n v="31933.439999999999"/>
    <n v="4790.0159999999996"/>
    <n v="27143.423999999999"/>
    <n v="21150"/>
    <n v="5993.4239999999991"/>
    <n v="0.22080574654104063"/>
  </r>
  <r>
    <s v="ORD00311"/>
    <s v="L00311"/>
    <x v="237"/>
    <x v="7"/>
    <x v="1"/>
    <s v="C0025"/>
    <x v="1"/>
    <n v="5"/>
    <n v="11889.76"/>
    <n v="0.15"/>
    <n v="9300"/>
    <n v="59448.800000000003"/>
    <n v="8917.32"/>
    <n v="50531.48"/>
    <n v="46500"/>
    <n v="4031.4800000000032"/>
    <n v="7.9781553993668958E-2"/>
  </r>
  <r>
    <s v="ORD00312"/>
    <s v="L00312"/>
    <x v="238"/>
    <x v="26"/>
    <x v="3"/>
    <s v="C0002"/>
    <x v="0"/>
    <n v="4"/>
    <n v="614.66"/>
    <n v="0.1"/>
    <n v="400"/>
    <n v="2458.64"/>
    <n v="245.864"/>
    <n v="2212.7759999999998"/>
    <n v="1600"/>
    <n v="612.77599999999984"/>
    <n v="0.27692635856498798"/>
  </r>
  <r>
    <s v="ORD00313"/>
    <s v="L00313"/>
    <x v="43"/>
    <x v="29"/>
    <x v="3"/>
    <s v="C0079"/>
    <x v="0"/>
    <n v="5"/>
    <n v="3804.25"/>
    <n v="0.05"/>
    <n v="2800"/>
    <n v="19021.25"/>
    <n v="951.0625"/>
    <n v="18070.1875"/>
    <n v="14000"/>
    <n v="4070.1875"/>
    <n v="0.22524323557793741"/>
  </r>
  <r>
    <s v="ORD00314"/>
    <s v="L00314"/>
    <x v="143"/>
    <x v="19"/>
    <x v="0"/>
    <s v="C0052"/>
    <x v="1"/>
    <n v="5"/>
    <n v="17523.439999999999"/>
    <n v="0.1"/>
    <n v="11850"/>
    <n v="87617.2"/>
    <n v="8761.7199999999993"/>
    <n v="78855.48"/>
    <n v="59250"/>
    <n v="19605.479999999996"/>
    <n v="0.2486254601455726"/>
  </r>
  <r>
    <s v="ORD00315"/>
    <s v="L00315"/>
    <x v="133"/>
    <x v="27"/>
    <x v="3"/>
    <s v="C0001"/>
    <x v="0"/>
    <n v="4"/>
    <n v="3335.18"/>
    <n v="0.1"/>
    <n v="2600"/>
    <n v="13340.72"/>
    <n v="1334.0720000000001"/>
    <n v="12006.647999999999"/>
    <n v="10400"/>
    <n v="1606.6479999999992"/>
    <n v="0.13381320082007894"/>
  </r>
  <r>
    <s v="ORD00316"/>
    <s v="L00316"/>
    <x v="239"/>
    <x v="21"/>
    <x v="1"/>
    <s v="C0039"/>
    <x v="1"/>
    <n v="4"/>
    <n v="11729.87"/>
    <n v="0.1"/>
    <n v="8950"/>
    <n v="46919.48"/>
    <n v="4691.9480000000003"/>
    <n v="42227.532000000007"/>
    <n v="35800"/>
    <n v="6427.5320000000065"/>
    <n v="0.15221187920714868"/>
  </r>
  <r>
    <s v="ORD00317"/>
    <s v="L00317"/>
    <x v="240"/>
    <x v="13"/>
    <x v="0"/>
    <s v="C0060"/>
    <x v="0"/>
    <n v="2"/>
    <n v="19555.88"/>
    <n v="0"/>
    <n v="14200"/>
    <n v="39111.760000000002"/>
    <n v="0"/>
    <n v="39111.760000000002"/>
    <n v="28400"/>
    <n v="10711.760000000002"/>
    <n v="0.27387568342616136"/>
  </r>
  <r>
    <s v="ORD00318"/>
    <s v="L00318"/>
    <x v="241"/>
    <x v="27"/>
    <x v="0"/>
    <s v="C0082"/>
    <x v="0"/>
    <n v="5"/>
    <n v="3335.18"/>
    <n v="0.1"/>
    <n v="2600"/>
    <n v="16675.899999999998"/>
    <n v="1667.59"/>
    <n v="15008.309999999998"/>
    <n v="13000"/>
    <n v="2008.3099999999977"/>
    <n v="0.13381320082007889"/>
  </r>
  <r>
    <s v="ORD00319"/>
    <s v="L00319"/>
    <x v="78"/>
    <x v="0"/>
    <x v="4"/>
    <s v="C0020"/>
    <x v="0"/>
    <n v="2"/>
    <n v="6484.94"/>
    <n v="0.05"/>
    <n v="4300"/>
    <n v="12969.88"/>
    <n v="648.49400000000003"/>
    <n v="12321.385999999999"/>
    <n v="8600"/>
    <n v="3721.3859999999986"/>
    <n v="0.30202657395848154"/>
  </r>
  <r>
    <s v="ORD00320"/>
    <s v="L00320"/>
    <x v="242"/>
    <x v="14"/>
    <x v="4"/>
    <s v="C0097"/>
    <x v="1"/>
    <n v="4"/>
    <n v="9337.2199999999993"/>
    <n v="0.2"/>
    <n v="6050"/>
    <n v="37348.879999999997"/>
    <n v="7469.7759999999998"/>
    <n v="29879.103999999999"/>
    <n v="24200"/>
    <n v="5679.1039999999994"/>
    <n v="0.19006942109107419"/>
  </r>
  <r>
    <s v="ORD00321"/>
    <s v="L00321"/>
    <x v="5"/>
    <x v="25"/>
    <x v="2"/>
    <s v="C0058"/>
    <x v="0"/>
    <n v="5"/>
    <n v="3559.5"/>
    <n v="0"/>
    <n v="2250"/>
    <n v="17797.5"/>
    <n v="0"/>
    <n v="17797.5"/>
    <n v="11250"/>
    <n v="6547.5"/>
    <n v="0.36788874841972186"/>
  </r>
  <r>
    <s v="ORD00322"/>
    <s v="L00322"/>
    <x v="243"/>
    <x v="11"/>
    <x v="2"/>
    <s v="C0026"/>
    <x v="1"/>
    <n v="1"/>
    <n v="5799.34"/>
    <n v="0.2"/>
    <n v="3800"/>
    <n v="5799.34"/>
    <n v="1159.8680000000002"/>
    <n v="4639.4719999999998"/>
    <n v="3800"/>
    <n v="839.47199999999975"/>
    <n v="0.1809412795249114"/>
  </r>
  <r>
    <s v="ORD00323"/>
    <s v="L00323"/>
    <x v="244"/>
    <x v="27"/>
    <x v="0"/>
    <s v="C0088"/>
    <x v="1"/>
    <n v="5"/>
    <n v="3335.18"/>
    <n v="0.15"/>
    <n v="2600"/>
    <n v="16675.899999999998"/>
    <n v="2501.3849999999998"/>
    <n v="14174.514999999998"/>
    <n v="13000"/>
    <n v="1174.5149999999976"/>
    <n v="8.2861036162436438E-2"/>
  </r>
  <r>
    <s v="ORD00324"/>
    <s v="L00324"/>
    <x v="29"/>
    <x v="24"/>
    <x v="4"/>
    <s v="C0008"/>
    <x v="0"/>
    <n v="1"/>
    <n v="2403.0700000000002"/>
    <n v="0.2"/>
    <n v="2000"/>
    <n v="2403.0700000000002"/>
    <n v="480.61400000000003"/>
    <n v="1922.4560000000001"/>
    <n v="2000"/>
    <n v="-77.543999999999869"/>
    <n v="-4.0335903656572566E-2"/>
  </r>
  <r>
    <s v="ORD00325"/>
    <s v="L00325"/>
    <x v="194"/>
    <x v="3"/>
    <x v="2"/>
    <s v="C0008"/>
    <x v="0"/>
    <n v="4"/>
    <n v="13204.06"/>
    <n v="0.15"/>
    <n v="11050"/>
    <n v="52816.24"/>
    <n v="7922.4359999999997"/>
    <n v="44893.803999999996"/>
    <n v="44200"/>
    <n v="693.80399999999645"/>
    <n v="1.5454337529517359E-2"/>
  </r>
  <r>
    <s v="ORD00326"/>
    <s v="L00326"/>
    <x v="34"/>
    <x v="8"/>
    <x v="1"/>
    <s v="C0001"/>
    <x v="1"/>
    <n v="1"/>
    <n v="13787.88"/>
    <n v="0.15"/>
    <n v="9500"/>
    <n v="13787.88"/>
    <n v="2068.1819999999998"/>
    <n v="11719.698"/>
    <n v="9500"/>
    <n v="2219.6980000000003"/>
    <n v="0.18939890771929449"/>
  </r>
  <r>
    <s v="ORD00327"/>
    <s v="L00327"/>
    <x v="245"/>
    <x v="6"/>
    <x v="1"/>
    <s v="C0090"/>
    <x v="1"/>
    <n v="1"/>
    <n v="17279.419999999998"/>
    <n v="0.15"/>
    <n v="13950"/>
    <n v="17279.419999999998"/>
    <n v="2591.9129999999996"/>
    <n v="14687.506999999998"/>
    <n v="13950"/>
    <n v="737.50699999999779"/>
    <n v="5.0213218621785023E-2"/>
  </r>
  <r>
    <s v="ORD00328"/>
    <s v="L00328"/>
    <x v="95"/>
    <x v="10"/>
    <x v="0"/>
    <s v="C0037"/>
    <x v="0"/>
    <n v="1"/>
    <n v="2056.0100000000002"/>
    <n v="0.15"/>
    <n v="1350"/>
    <n v="2056.0100000000002"/>
    <n v="308.4015"/>
    <n v="1747.6085000000003"/>
    <n v="1350"/>
    <n v="397.60850000000028"/>
    <n v="0.22751577369874329"/>
  </r>
  <r>
    <s v="ORD00329"/>
    <s v="L00329"/>
    <x v="246"/>
    <x v="27"/>
    <x v="4"/>
    <s v="C0058"/>
    <x v="0"/>
    <n v="4"/>
    <n v="3335.18"/>
    <n v="0.1"/>
    <n v="2600"/>
    <n v="13340.72"/>
    <n v="1334.0720000000001"/>
    <n v="12006.647999999999"/>
    <n v="10400"/>
    <n v="1606.6479999999992"/>
    <n v="0.13381320082007894"/>
  </r>
  <r>
    <s v="ORD00330"/>
    <s v="L00330"/>
    <x v="97"/>
    <x v="21"/>
    <x v="1"/>
    <s v="C0016"/>
    <x v="1"/>
    <n v="5"/>
    <n v="11729.87"/>
    <n v="0.05"/>
    <n v="8950"/>
    <n v="58649.350000000006"/>
    <n v="2932.4675000000007"/>
    <n v="55716.882500000007"/>
    <n v="44750"/>
    <n v="10966.882500000007"/>
    <n v="0.19683230661729872"/>
  </r>
  <r>
    <s v="ORD00331"/>
    <s v="L00331"/>
    <x v="211"/>
    <x v="10"/>
    <x v="3"/>
    <s v="C0001"/>
    <x v="1"/>
    <n v="5"/>
    <n v="2056.0100000000002"/>
    <n v="0.05"/>
    <n v="1350"/>
    <n v="10280.050000000001"/>
    <n v="514.00250000000005"/>
    <n v="9766.0475000000006"/>
    <n v="6750"/>
    <n v="3016.0475000000006"/>
    <n v="0.30882990278308603"/>
  </r>
  <r>
    <s v="ORD00332"/>
    <s v="L00332"/>
    <x v="247"/>
    <x v="22"/>
    <x v="2"/>
    <s v="C0049"/>
    <x v="1"/>
    <n v="5"/>
    <n v="17046.37"/>
    <n v="0.15"/>
    <n v="11700"/>
    <n v="85231.849999999991"/>
    <n v="12784.777499999998"/>
    <n v="72447.072499999995"/>
    <n v="58500"/>
    <n v="13947.072499999995"/>
    <n v="0.1925139556191176"/>
  </r>
  <r>
    <s v="ORD00333"/>
    <s v="L00333"/>
    <x v="159"/>
    <x v="2"/>
    <x v="1"/>
    <s v="C0025"/>
    <x v="1"/>
    <n v="3"/>
    <n v="18592.419999999998"/>
    <n v="0.05"/>
    <n v="14600"/>
    <n v="55777.259999999995"/>
    <n v="2788.8629999999998"/>
    <n v="52988.396999999997"/>
    <n v="43800"/>
    <n v="9188.3969999999972"/>
    <n v="0.17340394350861374"/>
  </r>
  <r>
    <s v="ORD00334"/>
    <s v="L00334"/>
    <x v="59"/>
    <x v="9"/>
    <x v="3"/>
    <s v="C0027"/>
    <x v="1"/>
    <n v="5"/>
    <n v="9389.4699999999993"/>
    <n v="0"/>
    <n v="7250"/>
    <n v="46947.35"/>
    <n v="0"/>
    <n v="46947.35"/>
    <n v="36250"/>
    <n v="10697.349999999999"/>
    <n v="0.22785844142427633"/>
  </r>
  <r>
    <s v="ORD00335"/>
    <s v="L00335"/>
    <x v="248"/>
    <x v="5"/>
    <x v="0"/>
    <s v="C0032"/>
    <x v="1"/>
    <n v="4"/>
    <n v="17336.23"/>
    <n v="0.2"/>
    <n v="14200"/>
    <n v="69344.92"/>
    <n v="13868.984"/>
    <n v="55475.936000000002"/>
    <n v="56800"/>
    <n v="-1324.0639999999985"/>
    <n v="-2.3867357551209202E-2"/>
  </r>
  <r>
    <s v="ORD00336"/>
    <s v="L00336"/>
    <x v="249"/>
    <x v="21"/>
    <x v="3"/>
    <s v="C0097"/>
    <x v="1"/>
    <n v="2"/>
    <n v="11729.87"/>
    <n v="0.2"/>
    <n v="8950"/>
    <n v="23459.74"/>
    <n v="4691.9480000000003"/>
    <n v="18767.792000000001"/>
    <n v="17900"/>
    <n v="867.79200000000128"/>
    <n v="4.6238364108042183E-2"/>
  </r>
  <r>
    <s v="ORD00337"/>
    <s v="L00337"/>
    <x v="250"/>
    <x v="3"/>
    <x v="2"/>
    <s v="C0041"/>
    <x v="0"/>
    <n v="3"/>
    <n v="13204.06"/>
    <n v="0.05"/>
    <n v="11050"/>
    <n v="39612.18"/>
    <n v="1980.6090000000002"/>
    <n v="37631.571000000004"/>
    <n v="33150"/>
    <n v="4481.5710000000036"/>
    <n v="0.11909072305272621"/>
  </r>
  <r>
    <s v="ORD00338"/>
    <s v="L00338"/>
    <x v="26"/>
    <x v="2"/>
    <x v="3"/>
    <s v="C0053"/>
    <x v="0"/>
    <n v="2"/>
    <n v="18592.419999999998"/>
    <n v="0.2"/>
    <n v="14600"/>
    <n v="37184.839999999997"/>
    <n v="7436.9679999999998"/>
    <n v="29747.871999999996"/>
    <n v="29200"/>
    <n v="547.87199999999575"/>
    <n v="1.8417182916478727E-2"/>
  </r>
  <r>
    <s v="ORD00339"/>
    <s v="L00339"/>
    <x v="251"/>
    <x v="13"/>
    <x v="3"/>
    <s v="C0081"/>
    <x v="0"/>
    <n v="5"/>
    <n v="19555.88"/>
    <n v="0.2"/>
    <n v="14200"/>
    <n v="97779.400000000009"/>
    <n v="19555.88"/>
    <n v="78223.520000000004"/>
    <n v="71000"/>
    <n v="7223.5200000000041"/>
    <n v="9.234460428270172E-2"/>
  </r>
  <r>
    <s v="ORD00340"/>
    <s v="L00340"/>
    <x v="252"/>
    <x v="10"/>
    <x v="4"/>
    <s v="C0068"/>
    <x v="0"/>
    <n v="1"/>
    <n v="2056.0100000000002"/>
    <n v="0.1"/>
    <n v="1350"/>
    <n v="2056.0100000000002"/>
    <n v="205.60100000000003"/>
    <n v="1850.4090000000001"/>
    <n v="1350"/>
    <n v="500.40900000000011"/>
    <n v="0.27043156404881302"/>
  </r>
  <r>
    <s v="ORD00341"/>
    <s v="L00341"/>
    <x v="89"/>
    <x v="24"/>
    <x v="1"/>
    <s v="C0049"/>
    <x v="1"/>
    <n v="4"/>
    <n v="2403.0700000000002"/>
    <n v="0.05"/>
    <n v="2000"/>
    <n v="9612.2800000000007"/>
    <n v="480.61400000000003"/>
    <n v="9131.6660000000011"/>
    <n v="8000"/>
    <n v="1131.6660000000011"/>
    <n v="0.12392766007867578"/>
  </r>
  <r>
    <s v="ORD00342"/>
    <s v="L00342"/>
    <x v="9"/>
    <x v="25"/>
    <x v="1"/>
    <s v="C0091"/>
    <x v="1"/>
    <n v="2"/>
    <n v="3559.5"/>
    <n v="0.05"/>
    <n v="2250"/>
    <n v="7119"/>
    <n v="355.95000000000005"/>
    <n v="6763.05"/>
    <n v="4500"/>
    <n v="2263.0500000000002"/>
    <n v="0.33461973517865462"/>
  </r>
  <r>
    <s v="ORD00343"/>
    <s v="L00343"/>
    <x v="247"/>
    <x v="29"/>
    <x v="4"/>
    <s v="C0054"/>
    <x v="1"/>
    <n v="1"/>
    <n v="3804.25"/>
    <n v="0.2"/>
    <n v="2800"/>
    <n v="3804.25"/>
    <n v="760.85"/>
    <n v="3043.4"/>
    <n v="2800"/>
    <n v="243.40000000000009"/>
    <n v="7.9976342248800708E-2"/>
  </r>
  <r>
    <s v="ORD00344"/>
    <s v="L00344"/>
    <x v="223"/>
    <x v="21"/>
    <x v="1"/>
    <s v="C0083"/>
    <x v="1"/>
    <n v="3"/>
    <n v="11729.87"/>
    <n v="0.05"/>
    <n v="8950"/>
    <n v="35189.61"/>
    <n v="1759.4805000000001"/>
    <n v="33430.129500000003"/>
    <n v="26850"/>
    <n v="6580.1295000000027"/>
    <n v="0.1968323066172987"/>
  </r>
  <r>
    <s v="ORD00345"/>
    <s v="L00345"/>
    <x v="253"/>
    <x v="16"/>
    <x v="2"/>
    <s v="C0093"/>
    <x v="1"/>
    <n v="3"/>
    <n v="10644.48"/>
    <n v="0"/>
    <n v="7050"/>
    <n v="31933.439999999999"/>
    <n v="0"/>
    <n v="31933.439999999999"/>
    <n v="21150"/>
    <n v="10783.439999999999"/>
    <n v="0.33768488455988455"/>
  </r>
  <r>
    <s v="ORD00346"/>
    <s v="L00346"/>
    <x v="254"/>
    <x v="9"/>
    <x v="2"/>
    <s v="C0006"/>
    <x v="1"/>
    <n v="4"/>
    <n v="9389.4699999999993"/>
    <n v="0.2"/>
    <n v="7250"/>
    <n v="37557.879999999997"/>
    <n v="7511.576"/>
    <n v="30046.303999999996"/>
    <n v="29000"/>
    <n v="1046.3039999999964"/>
    <n v="3.4823051780345317E-2"/>
  </r>
  <r>
    <s v="ORD00347"/>
    <s v="L00347"/>
    <x v="255"/>
    <x v="4"/>
    <x v="1"/>
    <s v="C0039"/>
    <x v="1"/>
    <n v="4"/>
    <n v="19237.78"/>
    <n v="0.05"/>
    <n v="13150"/>
    <n v="76951.12"/>
    <n v="3847.556"/>
    <n v="73103.563999999998"/>
    <n v="52600"/>
    <n v="20503.563999999998"/>
    <n v="0.2804728371382823"/>
  </r>
  <r>
    <s v="ORD00348"/>
    <s v="L00348"/>
    <x v="17"/>
    <x v="4"/>
    <x v="3"/>
    <s v="C0090"/>
    <x v="1"/>
    <n v="1"/>
    <n v="19237.78"/>
    <n v="0.15"/>
    <n v="13150"/>
    <n v="19237.78"/>
    <n v="2885.6669999999999"/>
    <n v="16352.112999999999"/>
    <n v="13150"/>
    <n v="3202.1129999999994"/>
    <n v="0.19582258268396258"/>
  </r>
  <r>
    <s v="ORD00349"/>
    <s v="L00349"/>
    <x v="91"/>
    <x v="21"/>
    <x v="1"/>
    <s v="C0049"/>
    <x v="0"/>
    <n v="5"/>
    <n v="11729.87"/>
    <n v="0.1"/>
    <n v="8950"/>
    <n v="58649.350000000006"/>
    <n v="5864.9350000000013"/>
    <n v="52784.415000000008"/>
    <n v="44750"/>
    <n v="8034.4150000000081"/>
    <n v="0.15221187920714868"/>
  </r>
  <r>
    <s v="ORD00350"/>
    <s v="L00350"/>
    <x v="119"/>
    <x v="10"/>
    <x v="1"/>
    <s v="C0066"/>
    <x v="0"/>
    <n v="3"/>
    <n v="2056.0100000000002"/>
    <n v="0.1"/>
    <n v="1350"/>
    <n v="6168.0300000000007"/>
    <n v="616.80300000000011"/>
    <n v="5551.2270000000008"/>
    <n v="4050"/>
    <n v="1501.2270000000008"/>
    <n v="0.27043156404881308"/>
  </r>
  <r>
    <s v="ORD00351"/>
    <s v="L00351"/>
    <x v="256"/>
    <x v="17"/>
    <x v="3"/>
    <s v="C0048"/>
    <x v="0"/>
    <n v="4"/>
    <n v="10868.14"/>
    <n v="0.1"/>
    <n v="8850"/>
    <n v="43472.56"/>
    <n v="4347.2560000000003"/>
    <n v="39125.303999999996"/>
    <n v="35400"/>
    <n v="3725.3039999999964"/>
    <n v="9.5214697884519875E-2"/>
  </r>
  <r>
    <s v="ORD00352"/>
    <s v="L00352"/>
    <x v="84"/>
    <x v="28"/>
    <x v="3"/>
    <s v="C0003"/>
    <x v="0"/>
    <n v="5"/>
    <n v="9371.8700000000008"/>
    <n v="0.05"/>
    <n v="5750"/>
    <n v="46859.350000000006"/>
    <n v="2342.9675000000002"/>
    <n v="44516.382500000007"/>
    <n v="28750"/>
    <n v="15766.382500000007"/>
    <n v="0.35417034391777014"/>
  </r>
  <r>
    <s v="ORD00353"/>
    <s v="L00353"/>
    <x v="158"/>
    <x v="10"/>
    <x v="3"/>
    <s v="C0043"/>
    <x v="1"/>
    <n v="3"/>
    <n v="2056.0100000000002"/>
    <n v="0.05"/>
    <n v="1350"/>
    <n v="6168.0300000000007"/>
    <n v="308.40150000000006"/>
    <n v="5859.6285000000007"/>
    <n v="4050"/>
    <n v="1809.6285000000007"/>
    <n v="0.30882990278308609"/>
  </r>
  <r>
    <s v="ORD00354"/>
    <s v="L00354"/>
    <x v="73"/>
    <x v="21"/>
    <x v="1"/>
    <s v="C0033"/>
    <x v="0"/>
    <n v="4"/>
    <n v="11729.87"/>
    <n v="0.2"/>
    <n v="8950"/>
    <n v="46919.48"/>
    <n v="9383.8960000000006"/>
    <n v="37535.584000000003"/>
    <n v="35800"/>
    <n v="1735.5840000000026"/>
    <n v="4.6238364108042183E-2"/>
  </r>
  <r>
    <s v="ORD00355"/>
    <s v="L00355"/>
    <x v="85"/>
    <x v="14"/>
    <x v="1"/>
    <s v="C0022"/>
    <x v="1"/>
    <n v="4"/>
    <n v="9337.2199999999993"/>
    <n v="0.05"/>
    <n v="6050"/>
    <n v="37348.879999999997"/>
    <n v="1867.444"/>
    <n v="35481.435999999994"/>
    <n v="24200"/>
    <n v="11281.435999999994"/>
    <n v="0.31795319670827293"/>
  </r>
  <r>
    <s v="ORD00356"/>
    <s v="L00356"/>
    <x v="29"/>
    <x v="14"/>
    <x v="0"/>
    <s v="C0068"/>
    <x v="1"/>
    <n v="2"/>
    <n v="9337.2199999999993"/>
    <n v="0.2"/>
    <n v="6050"/>
    <n v="18674.439999999999"/>
    <n v="3734.8879999999999"/>
    <n v="14939.552"/>
    <n v="12100"/>
    <n v="2839.5519999999997"/>
    <n v="0.19006942109107419"/>
  </r>
  <r>
    <s v="ORD00357"/>
    <s v="L00357"/>
    <x v="257"/>
    <x v="19"/>
    <x v="4"/>
    <s v="C0018"/>
    <x v="1"/>
    <n v="1"/>
    <n v="17523.439999999999"/>
    <n v="0"/>
    <n v="11850"/>
    <n v="17523.439999999999"/>
    <n v="0"/>
    <n v="17523.439999999999"/>
    <n v="11850"/>
    <n v="5673.4399999999987"/>
    <n v="0.32376291413101532"/>
  </r>
  <r>
    <s v="ORD00358"/>
    <s v="L00358"/>
    <x v="55"/>
    <x v="11"/>
    <x v="2"/>
    <s v="C0059"/>
    <x v="0"/>
    <n v="1"/>
    <n v="5799.34"/>
    <n v="0.05"/>
    <n v="3800"/>
    <n v="5799.34"/>
    <n v="289.96700000000004"/>
    <n v="5509.3730000000005"/>
    <n v="3800"/>
    <n v="1709.3730000000005"/>
    <n v="0.31026634065255709"/>
  </r>
  <r>
    <s v="ORD00359"/>
    <s v="L00359"/>
    <x v="124"/>
    <x v="9"/>
    <x v="0"/>
    <s v="C0069"/>
    <x v="0"/>
    <n v="4"/>
    <n v="9389.4699999999993"/>
    <n v="0"/>
    <n v="7250"/>
    <n v="37557.879999999997"/>
    <n v="0"/>
    <n v="37557.879999999997"/>
    <n v="29000"/>
    <n v="8557.8799999999974"/>
    <n v="0.2278584414242763"/>
  </r>
  <r>
    <s v="ORD00360"/>
    <s v="L00360"/>
    <x v="220"/>
    <x v="23"/>
    <x v="2"/>
    <s v="C0037"/>
    <x v="1"/>
    <n v="5"/>
    <n v="3694.44"/>
    <n v="0.1"/>
    <n v="3100"/>
    <n v="18472.2"/>
    <n v="1847.2200000000003"/>
    <n v="16624.98"/>
    <n v="15500"/>
    <n v="1124.9799999999996"/>
    <n v="6.7668051329986531E-2"/>
  </r>
  <r>
    <s v="ORD00361"/>
    <s v="L00361"/>
    <x v="258"/>
    <x v="18"/>
    <x v="0"/>
    <s v="C0068"/>
    <x v="1"/>
    <n v="2"/>
    <n v="13246.95"/>
    <n v="0"/>
    <n v="9050"/>
    <n v="26493.9"/>
    <n v="0"/>
    <n v="26493.9"/>
    <n v="18100"/>
    <n v="8393.9000000000015"/>
    <n v="0.31682387266502859"/>
  </r>
  <r>
    <s v="ORD00362"/>
    <s v="L00362"/>
    <x v="259"/>
    <x v="2"/>
    <x v="1"/>
    <s v="C0046"/>
    <x v="0"/>
    <n v="5"/>
    <n v="18592.419999999998"/>
    <n v="0.2"/>
    <n v="14600"/>
    <n v="92962.099999999991"/>
    <n v="18592.419999999998"/>
    <n v="74369.679999999993"/>
    <n v="73000"/>
    <n v="1369.679999999993"/>
    <n v="1.8417182916478776E-2"/>
  </r>
  <r>
    <s v="ORD00363"/>
    <s v="L00363"/>
    <x v="130"/>
    <x v="29"/>
    <x v="4"/>
    <s v="C0059"/>
    <x v="1"/>
    <n v="1"/>
    <n v="3804.25"/>
    <n v="0.1"/>
    <n v="2800"/>
    <n v="3804.25"/>
    <n v="380.42500000000001"/>
    <n v="3423.8249999999998"/>
    <n v="2800"/>
    <n v="623.82499999999982"/>
    <n v="0.18220119311004501"/>
  </r>
  <r>
    <s v="ORD00364"/>
    <s v="L00364"/>
    <x v="260"/>
    <x v="24"/>
    <x v="0"/>
    <s v="C0012"/>
    <x v="0"/>
    <n v="3"/>
    <n v="2403.0700000000002"/>
    <n v="0"/>
    <n v="2000"/>
    <n v="7209.2100000000009"/>
    <n v="0"/>
    <n v="7209.2100000000009"/>
    <n v="6000"/>
    <n v="1209.2100000000009"/>
    <n v="0.167731277074742"/>
  </r>
  <r>
    <s v="ORD00365"/>
    <s v="L00365"/>
    <x v="111"/>
    <x v="21"/>
    <x v="0"/>
    <s v="C0082"/>
    <x v="1"/>
    <n v="5"/>
    <n v="11729.87"/>
    <n v="0.15"/>
    <n v="8950"/>
    <n v="58649.350000000006"/>
    <n v="8797.4025000000001"/>
    <n v="49851.947500000009"/>
    <n v="44750"/>
    <n v="5101.9475000000093"/>
    <n v="0.10234198974874568"/>
  </r>
  <r>
    <s v="ORD00366"/>
    <s v="L00366"/>
    <x v="261"/>
    <x v="24"/>
    <x v="4"/>
    <s v="C0083"/>
    <x v="0"/>
    <n v="1"/>
    <n v="2403.0700000000002"/>
    <n v="0.15"/>
    <n v="2000"/>
    <n v="2403.0700000000002"/>
    <n v="360.46050000000002"/>
    <n v="2042.6095"/>
    <n v="2000"/>
    <n v="42.609500000000025"/>
    <n v="2.0860325970284591E-2"/>
  </r>
  <r>
    <s v="ORD00367"/>
    <s v="L00367"/>
    <x v="262"/>
    <x v="6"/>
    <x v="3"/>
    <s v="C0028"/>
    <x v="0"/>
    <n v="5"/>
    <n v="17279.419999999998"/>
    <n v="0"/>
    <n v="13950"/>
    <n v="86397.099999999991"/>
    <n v="0"/>
    <n v="86397.099999999991"/>
    <n v="69750"/>
    <n v="16647.099999999991"/>
    <n v="0.19268123582851732"/>
  </r>
  <r>
    <s v="ORD00368"/>
    <s v="L00368"/>
    <x v="263"/>
    <x v="13"/>
    <x v="2"/>
    <s v="C0073"/>
    <x v="1"/>
    <n v="1"/>
    <n v="19555.88"/>
    <n v="0.1"/>
    <n v="14200"/>
    <n v="19555.88"/>
    <n v="1955.5880000000002"/>
    <n v="17600.292000000001"/>
    <n v="14200"/>
    <n v="3400.2920000000013"/>
    <n v="0.19319520380684599"/>
  </r>
  <r>
    <s v="ORD00369"/>
    <s v="L00369"/>
    <x v="264"/>
    <x v="27"/>
    <x v="2"/>
    <s v="C0019"/>
    <x v="0"/>
    <n v="1"/>
    <n v="3335.18"/>
    <n v="0.05"/>
    <n v="2600"/>
    <n v="3335.18"/>
    <n v="166.75900000000001"/>
    <n v="3168.4209999999998"/>
    <n v="2600"/>
    <n v="568.42099999999982"/>
    <n v="0.17940197972428534"/>
  </r>
  <r>
    <s v="ORD00370"/>
    <s v="L00370"/>
    <x v="196"/>
    <x v="16"/>
    <x v="2"/>
    <s v="C0031"/>
    <x v="0"/>
    <n v="3"/>
    <n v="10644.48"/>
    <n v="0.05"/>
    <n v="7050"/>
    <n v="31933.439999999999"/>
    <n v="1596.672"/>
    <n v="30336.768"/>
    <n v="21150"/>
    <n v="9186.768"/>
    <n v="0.30282619427356272"/>
  </r>
  <r>
    <s v="ORD00371"/>
    <s v="L00371"/>
    <x v="114"/>
    <x v="8"/>
    <x v="0"/>
    <s v="C0065"/>
    <x v="0"/>
    <n v="4"/>
    <n v="13787.88"/>
    <n v="0.05"/>
    <n v="9500"/>
    <n v="55151.519999999997"/>
    <n v="2757.576"/>
    <n v="52393.943999999996"/>
    <n v="38000"/>
    <n v="14393.943999999996"/>
    <n v="0.27472533848568448"/>
  </r>
  <r>
    <s v="ORD00372"/>
    <s v="L00372"/>
    <x v="256"/>
    <x v="9"/>
    <x v="0"/>
    <s v="C0044"/>
    <x v="0"/>
    <n v="4"/>
    <n v="9389.4699999999993"/>
    <n v="0.05"/>
    <n v="7250"/>
    <n v="37557.879999999997"/>
    <n v="1877.894"/>
    <n v="35679.985999999997"/>
    <n v="29000"/>
    <n v="6679.9859999999971"/>
    <n v="0.18721941202555398"/>
  </r>
  <r>
    <s v="ORD00373"/>
    <s v="L00373"/>
    <x v="265"/>
    <x v="25"/>
    <x v="4"/>
    <s v="C0063"/>
    <x v="1"/>
    <n v="1"/>
    <n v="3559.5"/>
    <n v="0.1"/>
    <n v="2250"/>
    <n v="3559.5"/>
    <n v="355.95000000000005"/>
    <n v="3203.55"/>
    <n v="2250"/>
    <n v="953.55000000000018"/>
    <n v="0.2976541649108021"/>
  </r>
  <r>
    <s v="ORD00374"/>
    <s v="L00374"/>
    <x v="68"/>
    <x v="0"/>
    <x v="2"/>
    <s v="C0085"/>
    <x v="0"/>
    <n v="4"/>
    <n v="6484.94"/>
    <n v="0.05"/>
    <n v="4300"/>
    <n v="25939.759999999998"/>
    <n v="1296.9880000000001"/>
    <n v="24642.771999999997"/>
    <n v="17200"/>
    <n v="7442.7719999999972"/>
    <n v="0.30202657395848154"/>
  </r>
  <r>
    <s v="ORD00375"/>
    <s v="L00375"/>
    <x v="43"/>
    <x v="11"/>
    <x v="0"/>
    <s v="C0035"/>
    <x v="1"/>
    <n v="2"/>
    <n v="5799.34"/>
    <n v="0"/>
    <n v="3800"/>
    <n v="11598.68"/>
    <n v="0"/>
    <n v="11598.68"/>
    <n v="7600"/>
    <n v="3998.6800000000003"/>
    <n v="0.34475302361992916"/>
  </r>
  <r>
    <s v="ORD00376"/>
    <s v="L00376"/>
    <x v="205"/>
    <x v="21"/>
    <x v="1"/>
    <s v="C0014"/>
    <x v="1"/>
    <n v="4"/>
    <n v="11729.87"/>
    <n v="0.1"/>
    <n v="8950"/>
    <n v="46919.48"/>
    <n v="4691.9480000000003"/>
    <n v="42227.532000000007"/>
    <n v="35800"/>
    <n v="6427.5320000000065"/>
    <n v="0.15221187920714868"/>
  </r>
  <r>
    <s v="ORD00377"/>
    <s v="L00377"/>
    <x v="34"/>
    <x v="23"/>
    <x v="1"/>
    <s v="C0014"/>
    <x v="1"/>
    <n v="4"/>
    <n v="3694.44"/>
    <n v="0.1"/>
    <n v="3100"/>
    <n v="14777.76"/>
    <n v="1477.7760000000001"/>
    <n v="13299.984"/>
    <n v="12400"/>
    <n v="899.98400000000038"/>
    <n v="6.7668051329986587E-2"/>
  </r>
  <r>
    <s v="ORD00378"/>
    <s v="L00378"/>
    <x v="266"/>
    <x v="11"/>
    <x v="2"/>
    <s v="C0072"/>
    <x v="0"/>
    <n v="4"/>
    <n v="5799.34"/>
    <n v="0.15"/>
    <n v="3800"/>
    <n v="23197.360000000001"/>
    <n v="3479.6039999999998"/>
    <n v="19717.756000000001"/>
    <n v="15200"/>
    <n v="4517.7560000000012"/>
    <n v="0.22912120425874025"/>
  </r>
  <r>
    <s v="ORD00379"/>
    <s v="L00379"/>
    <x v="267"/>
    <x v="5"/>
    <x v="2"/>
    <s v="C0012"/>
    <x v="0"/>
    <n v="1"/>
    <n v="17336.23"/>
    <n v="0.1"/>
    <n v="14200"/>
    <n v="17336.23"/>
    <n v="1733.623"/>
    <n v="15602.607"/>
    <n v="14200"/>
    <n v="1402.607"/>
    <n v="8.9895682176702907E-2"/>
  </r>
  <r>
    <s v="ORD00380"/>
    <s v="L00380"/>
    <x v="268"/>
    <x v="12"/>
    <x v="4"/>
    <s v="C0050"/>
    <x v="1"/>
    <n v="1"/>
    <n v="11999.07"/>
    <n v="0.1"/>
    <n v="9550"/>
    <n v="11999.07"/>
    <n v="1199.9069999999999"/>
    <n v="10799.163"/>
    <n v="9550"/>
    <n v="1249.1630000000005"/>
    <n v="0.11567220533665437"/>
  </r>
  <r>
    <s v="ORD00381"/>
    <s v="L00381"/>
    <x v="223"/>
    <x v="14"/>
    <x v="3"/>
    <s v="C0088"/>
    <x v="0"/>
    <n v="5"/>
    <n v="9337.2199999999993"/>
    <n v="0.2"/>
    <n v="6050"/>
    <n v="46686.1"/>
    <n v="9337.2199999999993"/>
    <n v="37348.879999999997"/>
    <n v="30250"/>
    <n v="7098.8799999999974"/>
    <n v="0.19006942109107416"/>
  </r>
  <r>
    <s v="ORD00382"/>
    <s v="L00382"/>
    <x v="269"/>
    <x v="27"/>
    <x v="1"/>
    <s v="C0064"/>
    <x v="1"/>
    <n v="3"/>
    <n v="3335.18"/>
    <n v="0.1"/>
    <n v="2600"/>
    <n v="10005.539999999999"/>
    <n v="1000.554"/>
    <n v="9004.985999999999"/>
    <n v="7800"/>
    <n v="1204.985999999999"/>
    <n v="0.13381320082007891"/>
  </r>
  <r>
    <s v="ORD00383"/>
    <s v="L00383"/>
    <x v="270"/>
    <x v="11"/>
    <x v="4"/>
    <s v="C0039"/>
    <x v="0"/>
    <n v="4"/>
    <n v="5799.34"/>
    <n v="0.1"/>
    <n v="3800"/>
    <n v="23197.360000000001"/>
    <n v="2319.7360000000003"/>
    <n v="20877.624"/>
    <n v="15200"/>
    <n v="5677.6239999999998"/>
    <n v="0.27194780402214352"/>
  </r>
  <r>
    <s v="ORD00384"/>
    <s v="L00384"/>
    <x v="196"/>
    <x v="29"/>
    <x v="3"/>
    <s v="C0093"/>
    <x v="0"/>
    <n v="3"/>
    <n v="3804.25"/>
    <n v="0.1"/>
    <n v="2800"/>
    <n v="11412.75"/>
    <n v="1141.2750000000001"/>
    <n v="10271.475"/>
    <n v="8400"/>
    <n v="1871.4750000000004"/>
    <n v="0.18220119311004507"/>
  </r>
  <r>
    <s v="ORD00385"/>
    <s v="L00385"/>
    <x v="271"/>
    <x v="15"/>
    <x v="3"/>
    <s v="C0039"/>
    <x v="1"/>
    <n v="4"/>
    <n v="12048.66"/>
    <n v="0"/>
    <n v="9900"/>
    <n v="48194.64"/>
    <n v="0"/>
    <n v="48194.64"/>
    <n v="39600"/>
    <n v="8594.64"/>
    <n v="0.17833186429030282"/>
  </r>
  <r>
    <s v="ORD00386"/>
    <s v="L00386"/>
    <x v="36"/>
    <x v="21"/>
    <x v="1"/>
    <s v="C0057"/>
    <x v="0"/>
    <n v="5"/>
    <n v="11729.87"/>
    <n v="0.15"/>
    <n v="8950"/>
    <n v="58649.350000000006"/>
    <n v="8797.4025000000001"/>
    <n v="49851.947500000009"/>
    <n v="44750"/>
    <n v="5101.9475000000093"/>
    <n v="0.10234198974874568"/>
  </r>
  <r>
    <s v="ORD00387"/>
    <s v="L00387"/>
    <x v="272"/>
    <x v="28"/>
    <x v="2"/>
    <s v="C0089"/>
    <x v="1"/>
    <n v="3"/>
    <n v="9371.8700000000008"/>
    <n v="0.1"/>
    <n v="5750"/>
    <n v="28115.61"/>
    <n v="2811.5610000000001"/>
    <n v="25304.048999999999"/>
    <n v="17250"/>
    <n v="8054.0489999999991"/>
    <n v="0.31829091857986835"/>
  </r>
  <r>
    <s v="ORD00388"/>
    <s v="L00388"/>
    <x v="18"/>
    <x v="1"/>
    <x v="1"/>
    <s v="C0038"/>
    <x v="0"/>
    <n v="2"/>
    <n v="12193.29"/>
    <n v="0.15"/>
    <n v="9950"/>
    <n v="24386.58"/>
    <n v="3657.9870000000001"/>
    <n v="20728.593000000001"/>
    <n v="19900"/>
    <n v="828.59300000000076"/>
    <n v="3.9973431867758737E-2"/>
  </r>
  <r>
    <s v="ORD00389"/>
    <s v="L00389"/>
    <x v="223"/>
    <x v="6"/>
    <x v="1"/>
    <s v="C0051"/>
    <x v="0"/>
    <n v="3"/>
    <n v="17279.419999999998"/>
    <n v="0.15"/>
    <n v="13950"/>
    <n v="51838.259999999995"/>
    <n v="7775.7389999999987"/>
    <n v="44062.520999999993"/>
    <n v="41850"/>
    <n v="2212.5209999999934"/>
    <n v="5.0213218621785023E-2"/>
  </r>
  <r>
    <s v="ORD00390"/>
    <s v="L00390"/>
    <x v="176"/>
    <x v="5"/>
    <x v="3"/>
    <s v="C0088"/>
    <x v="1"/>
    <n v="5"/>
    <n v="17336.23"/>
    <n v="0.2"/>
    <n v="14200"/>
    <n v="86681.15"/>
    <n v="17336.23"/>
    <n v="69344.92"/>
    <n v="71000"/>
    <n v="-1655.0800000000017"/>
    <n v="-2.3867357551209258E-2"/>
  </r>
  <r>
    <s v="ORD00391"/>
    <s v="L00391"/>
    <x v="63"/>
    <x v="14"/>
    <x v="1"/>
    <s v="C0089"/>
    <x v="1"/>
    <n v="2"/>
    <n v="9337.2199999999993"/>
    <n v="0.15"/>
    <n v="6050"/>
    <n v="18674.439999999999"/>
    <n v="2801.1659999999997"/>
    <n v="15873.273999999999"/>
    <n v="12100"/>
    <n v="3773.2739999999994"/>
    <n v="0.23771239632101099"/>
  </r>
  <r>
    <s v="ORD00392"/>
    <s v="L00392"/>
    <x v="273"/>
    <x v="19"/>
    <x v="1"/>
    <s v="C0031"/>
    <x v="0"/>
    <n v="4"/>
    <n v="17523.439999999999"/>
    <n v="0.05"/>
    <n v="11850"/>
    <n v="70093.759999999995"/>
    <n v="3504.6880000000001"/>
    <n v="66589.072"/>
    <n v="47400"/>
    <n v="19189.072"/>
    <n v="0.28817148855896357"/>
  </r>
  <r>
    <s v="ORD00393"/>
    <s v="L00393"/>
    <x v="205"/>
    <x v="8"/>
    <x v="0"/>
    <s v="C0058"/>
    <x v="0"/>
    <n v="4"/>
    <n v="13787.88"/>
    <n v="0.15"/>
    <n v="9500"/>
    <n v="55151.519999999997"/>
    <n v="8272.7279999999992"/>
    <n v="46878.792000000001"/>
    <n v="38000"/>
    <n v="8878.7920000000013"/>
    <n v="0.18939890771929449"/>
  </r>
  <r>
    <s v="ORD00394"/>
    <s v="L00394"/>
    <x v="15"/>
    <x v="6"/>
    <x v="4"/>
    <s v="C0070"/>
    <x v="1"/>
    <n v="5"/>
    <n v="17279.419999999998"/>
    <n v="0.2"/>
    <n v="13950"/>
    <n v="86397.099999999991"/>
    <n v="17279.419999999998"/>
    <n v="69117.679999999993"/>
    <n v="69750"/>
    <n v="-632.32000000000698"/>
    <n v="-9.1484552143533612E-3"/>
  </r>
  <r>
    <s v="ORD00395"/>
    <s v="L00395"/>
    <x v="240"/>
    <x v="29"/>
    <x v="0"/>
    <s v="C0014"/>
    <x v="1"/>
    <n v="5"/>
    <n v="3804.25"/>
    <n v="0.2"/>
    <n v="2800"/>
    <n v="19021.25"/>
    <n v="3804.25"/>
    <n v="15217"/>
    <n v="14000"/>
    <n v="1217"/>
    <n v="7.997634224880068E-2"/>
  </r>
  <r>
    <s v="ORD00396"/>
    <s v="L00396"/>
    <x v="274"/>
    <x v="8"/>
    <x v="0"/>
    <s v="C0073"/>
    <x v="0"/>
    <n v="2"/>
    <n v="13787.88"/>
    <n v="0.2"/>
    <n v="9500"/>
    <n v="27575.759999999998"/>
    <n v="5515.152"/>
    <n v="22060.608"/>
    <n v="19000"/>
    <n v="3060.6080000000002"/>
    <n v="0.13873633945175037"/>
  </r>
  <r>
    <s v="ORD00397"/>
    <s v="L00397"/>
    <x v="114"/>
    <x v="25"/>
    <x v="0"/>
    <s v="C0013"/>
    <x v="0"/>
    <n v="4"/>
    <n v="3559.5"/>
    <n v="0"/>
    <n v="2250"/>
    <n v="14238"/>
    <n v="0"/>
    <n v="14238"/>
    <n v="9000"/>
    <n v="5238"/>
    <n v="0.36788874841972186"/>
  </r>
  <r>
    <s v="ORD00398"/>
    <s v="L00398"/>
    <x v="160"/>
    <x v="2"/>
    <x v="2"/>
    <s v="C0089"/>
    <x v="1"/>
    <n v="5"/>
    <n v="18592.419999999998"/>
    <n v="0.2"/>
    <n v="14600"/>
    <n v="92962.099999999991"/>
    <n v="18592.419999999998"/>
    <n v="74369.679999999993"/>
    <n v="73000"/>
    <n v="1369.679999999993"/>
    <n v="1.8417182916478776E-2"/>
  </r>
  <r>
    <s v="ORD00399"/>
    <s v="L00399"/>
    <x v="275"/>
    <x v="17"/>
    <x v="2"/>
    <s v="C0089"/>
    <x v="1"/>
    <n v="4"/>
    <n v="10868.14"/>
    <n v="0.15"/>
    <n v="8850"/>
    <n v="43472.56"/>
    <n v="6520.8839999999991"/>
    <n v="36951.675999999999"/>
    <n v="35400"/>
    <n v="1551.6759999999995"/>
    <n v="4.1992033054197582E-2"/>
  </r>
  <r>
    <s v="ORD00400"/>
    <s v="L00400"/>
    <x v="276"/>
    <x v="0"/>
    <x v="1"/>
    <s v="C0054"/>
    <x v="1"/>
    <n v="4"/>
    <n v="6484.94"/>
    <n v="0"/>
    <n v="4300"/>
    <n v="25939.759999999998"/>
    <n v="0"/>
    <n v="25939.759999999998"/>
    <n v="17200"/>
    <n v="8739.7599999999984"/>
    <n v="0.3369252452605575"/>
  </r>
  <r>
    <s v="ORD00401"/>
    <s v="L00401"/>
    <x v="151"/>
    <x v="5"/>
    <x v="1"/>
    <s v="C0059"/>
    <x v="1"/>
    <n v="3"/>
    <n v="17336.23"/>
    <n v="0.1"/>
    <n v="14200"/>
    <n v="52008.69"/>
    <n v="5200.8690000000006"/>
    <n v="46807.821000000004"/>
    <n v="42600"/>
    <n v="4207.8210000000036"/>
    <n v="8.9895682176702976E-2"/>
  </r>
  <r>
    <s v="ORD00402"/>
    <s v="L00402"/>
    <x v="124"/>
    <x v="18"/>
    <x v="0"/>
    <s v="C0057"/>
    <x v="0"/>
    <n v="3"/>
    <n v="13246.95"/>
    <n v="0.15"/>
    <n v="9050"/>
    <n v="39740.850000000006"/>
    <n v="5961.1275000000005"/>
    <n v="33779.722500000003"/>
    <n v="27150"/>
    <n v="6629.7225000000035"/>
    <n v="0.19626337960591603"/>
  </r>
  <r>
    <s v="ORD00403"/>
    <s v="L00403"/>
    <x v="277"/>
    <x v="26"/>
    <x v="0"/>
    <s v="C0003"/>
    <x v="0"/>
    <n v="3"/>
    <n v="614.66"/>
    <n v="0"/>
    <n v="400"/>
    <n v="1843.98"/>
    <n v="0"/>
    <n v="1843.98"/>
    <n v="1200"/>
    <n v="643.98"/>
    <n v="0.34923372270848924"/>
  </r>
  <r>
    <s v="ORD00404"/>
    <s v="L00404"/>
    <x v="278"/>
    <x v="20"/>
    <x v="2"/>
    <s v="C0023"/>
    <x v="1"/>
    <n v="2"/>
    <n v="12166.11"/>
    <n v="0.05"/>
    <n v="7750"/>
    <n v="24332.22"/>
    <n v="1216.6110000000001"/>
    <n v="23115.609"/>
    <n v="15500"/>
    <n v="7615.6090000000004"/>
    <n v="0.32945742420197538"/>
  </r>
  <r>
    <s v="ORD00405"/>
    <s v="L00405"/>
    <x v="279"/>
    <x v="26"/>
    <x v="4"/>
    <s v="C0081"/>
    <x v="1"/>
    <n v="4"/>
    <n v="614.66"/>
    <n v="0.05"/>
    <n v="400"/>
    <n v="2458.64"/>
    <n v="122.932"/>
    <n v="2335.7080000000001"/>
    <n v="1600"/>
    <n v="735.70800000000008"/>
    <n v="0.31498286600893605"/>
  </r>
  <r>
    <s v="ORD00406"/>
    <s v="L00406"/>
    <x v="280"/>
    <x v="27"/>
    <x v="2"/>
    <s v="C0026"/>
    <x v="0"/>
    <n v="4"/>
    <n v="3335.18"/>
    <n v="0"/>
    <n v="2600"/>
    <n v="13340.72"/>
    <n v="0"/>
    <n v="13340.72"/>
    <n v="10400"/>
    <n v="2940.7199999999993"/>
    <n v="0.22043188073807107"/>
  </r>
  <r>
    <s v="ORD00407"/>
    <s v="L00407"/>
    <x v="281"/>
    <x v="6"/>
    <x v="3"/>
    <s v="C0027"/>
    <x v="0"/>
    <n v="4"/>
    <n v="17279.419999999998"/>
    <n v="0"/>
    <n v="13950"/>
    <n v="69117.679999999993"/>
    <n v="0"/>
    <n v="69117.679999999993"/>
    <n v="55800"/>
    <n v="13317.679999999993"/>
    <n v="0.19268123582851732"/>
  </r>
  <r>
    <s v="ORD00408"/>
    <s v="L00408"/>
    <x v="282"/>
    <x v="25"/>
    <x v="2"/>
    <s v="C0024"/>
    <x v="0"/>
    <n v="5"/>
    <n v="3559.5"/>
    <n v="0"/>
    <n v="2250"/>
    <n v="17797.5"/>
    <n v="0"/>
    <n v="17797.5"/>
    <n v="11250"/>
    <n v="6547.5"/>
    <n v="0.36788874841972186"/>
  </r>
  <r>
    <s v="ORD00409"/>
    <s v="L00409"/>
    <x v="283"/>
    <x v="26"/>
    <x v="1"/>
    <s v="C0086"/>
    <x v="0"/>
    <n v="4"/>
    <n v="614.66"/>
    <n v="0"/>
    <n v="400"/>
    <n v="2458.64"/>
    <n v="0"/>
    <n v="2458.64"/>
    <n v="1600"/>
    <n v="858.63999999999987"/>
    <n v="0.34923372270848924"/>
  </r>
  <r>
    <s v="ORD00410"/>
    <s v="L00410"/>
    <x v="284"/>
    <x v="18"/>
    <x v="2"/>
    <s v="C0051"/>
    <x v="1"/>
    <n v="5"/>
    <n v="13246.95"/>
    <n v="0.15"/>
    <n v="9050"/>
    <n v="66234.75"/>
    <n v="9935.2124999999996"/>
    <n v="56299.537499999999"/>
    <n v="45250"/>
    <n v="11049.537499999999"/>
    <n v="0.19626337960591592"/>
  </r>
  <r>
    <s v="ORD00411"/>
    <s v="L00411"/>
    <x v="126"/>
    <x v="0"/>
    <x v="3"/>
    <s v="C0087"/>
    <x v="0"/>
    <n v="4"/>
    <n v="6484.94"/>
    <n v="0.2"/>
    <n v="4300"/>
    <n v="25939.759999999998"/>
    <n v="5187.9520000000002"/>
    <n v="20751.807999999997"/>
    <n v="17200"/>
    <n v="3551.8079999999973"/>
    <n v="0.17115655657569681"/>
  </r>
  <r>
    <s v="ORD00412"/>
    <s v="L00412"/>
    <x v="47"/>
    <x v="16"/>
    <x v="0"/>
    <s v="C0031"/>
    <x v="0"/>
    <n v="2"/>
    <n v="10644.48"/>
    <n v="0.1"/>
    <n v="7050"/>
    <n v="21288.959999999999"/>
    <n v="2128.8960000000002"/>
    <n v="19160.063999999998"/>
    <n v="14100"/>
    <n v="5060.0639999999985"/>
    <n v="0.26409431617764945"/>
  </r>
  <r>
    <s v="ORD00413"/>
    <s v="L00413"/>
    <x v="285"/>
    <x v="5"/>
    <x v="2"/>
    <s v="C0050"/>
    <x v="0"/>
    <n v="3"/>
    <n v="17336.23"/>
    <n v="0.05"/>
    <n v="14200"/>
    <n v="52008.69"/>
    <n v="2600.4345000000003"/>
    <n v="49408.255499999999"/>
    <n v="42600"/>
    <n v="6808.2554999999993"/>
    <n v="0.13779590943056064"/>
  </r>
  <r>
    <s v="ORD00414"/>
    <s v="L00414"/>
    <x v="286"/>
    <x v="15"/>
    <x v="4"/>
    <s v="C0024"/>
    <x v="0"/>
    <n v="5"/>
    <n v="12048.66"/>
    <n v="0.15"/>
    <n v="9900"/>
    <n v="60243.3"/>
    <n v="9036.4950000000008"/>
    <n v="51206.805"/>
    <n v="49500"/>
    <n v="1706.8050000000003"/>
    <n v="3.3331605047415093E-2"/>
  </r>
  <r>
    <s v="ORD00415"/>
    <s v="L00415"/>
    <x v="225"/>
    <x v="20"/>
    <x v="4"/>
    <s v="C0037"/>
    <x v="1"/>
    <n v="5"/>
    <n v="12166.11"/>
    <n v="0.05"/>
    <n v="7750"/>
    <n v="60830.55"/>
    <n v="3041.5275000000001"/>
    <n v="57789.022500000006"/>
    <n v="38750"/>
    <n v="19039.022500000006"/>
    <n v="0.32945742420197544"/>
  </r>
  <r>
    <s v="ORD00416"/>
    <s v="L00416"/>
    <x v="264"/>
    <x v="27"/>
    <x v="0"/>
    <s v="C0046"/>
    <x v="1"/>
    <n v="4"/>
    <n v="3335.18"/>
    <n v="0.2"/>
    <n v="2600"/>
    <n v="13340.72"/>
    <n v="2668.1440000000002"/>
    <n v="10672.575999999999"/>
    <n v="10400"/>
    <n v="272.57599999999911"/>
    <n v="2.5539850922588803E-2"/>
  </r>
  <r>
    <s v="ORD00417"/>
    <s v="L00417"/>
    <x v="272"/>
    <x v="1"/>
    <x v="2"/>
    <s v="C0065"/>
    <x v="0"/>
    <n v="2"/>
    <n v="12193.29"/>
    <n v="0.15"/>
    <n v="9950"/>
    <n v="24386.58"/>
    <n v="3657.9870000000001"/>
    <n v="20728.593000000001"/>
    <n v="19900"/>
    <n v="828.59300000000076"/>
    <n v="3.9973431867758737E-2"/>
  </r>
  <r>
    <s v="ORD00418"/>
    <s v="L00418"/>
    <x v="287"/>
    <x v="28"/>
    <x v="4"/>
    <s v="C0022"/>
    <x v="1"/>
    <n v="4"/>
    <n v="9371.8700000000008"/>
    <n v="0.15"/>
    <n v="5750"/>
    <n v="37487.480000000003"/>
    <n v="5623.1220000000003"/>
    <n v="31864.358000000004"/>
    <n v="23000"/>
    <n v="8864.3580000000038"/>
    <n v="0.27819038437868426"/>
  </r>
  <r>
    <s v="ORD00419"/>
    <s v="L00419"/>
    <x v="140"/>
    <x v="6"/>
    <x v="0"/>
    <s v="C0036"/>
    <x v="1"/>
    <n v="2"/>
    <n v="17279.419999999998"/>
    <n v="0.1"/>
    <n v="13950"/>
    <n v="34558.839999999997"/>
    <n v="3455.884"/>
    <n v="31102.955999999998"/>
    <n v="27900"/>
    <n v="3202.9559999999983"/>
    <n v="0.10297915092057483"/>
  </r>
  <r>
    <s v="ORD00420"/>
    <s v="L00420"/>
    <x v="181"/>
    <x v="10"/>
    <x v="2"/>
    <s v="C0096"/>
    <x v="0"/>
    <n v="2"/>
    <n v="2056.0100000000002"/>
    <n v="0.15"/>
    <n v="1350"/>
    <n v="4112.0200000000004"/>
    <n v="616.803"/>
    <n v="3495.2170000000006"/>
    <n v="2700"/>
    <n v="795.21700000000055"/>
    <n v="0.22751577369874329"/>
  </r>
  <r>
    <s v="ORD00421"/>
    <s v="L00421"/>
    <x v="288"/>
    <x v="10"/>
    <x v="0"/>
    <s v="C0035"/>
    <x v="0"/>
    <n v="1"/>
    <n v="2056.0100000000002"/>
    <n v="0.2"/>
    <n v="1350"/>
    <n v="2056.0100000000002"/>
    <n v="411.20200000000006"/>
    <n v="1644.8080000000002"/>
    <n v="1350"/>
    <n v="294.80800000000022"/>
    <n v="0.17923550955491471"/>
  </r>
  <r>
    <s v="ORD00422"/>
    <s v="L00422"/>
    <x v="164"/>
    <x v="10"/>
    <x v="3"/>
    <s v="C0055"/>
    <x v="1"/>
    <n v="4"/>
    <n v="2056.0100000000002"/>
    <n v="0.2"/>
    <n v="1350"/>
    <n v="8224.0400000000009"/>
    <n v="1644.8080000000002"/>
    <n v="6579.2320000000009"/>
    <n v="5400"/>
    <n v="1179.2320000000009"/>
    <n v="0.17923550955491471"/>
  </r>
  <r>
    <s v="ORD00423"/>
    <s v="L00423"/>
    <x v="5"/>
    <x v="14"/>
    <x v="4"/>
    <s v="C0034"/>
    <x v="0"/>
    <n v="3"/>
    <n v="9337.2199999999993"/>
    <n v="0"/>
    <n v="6050"/>
    <n v="28011.659999999996"/>
    <n v="0"/>
    <n v="28011.659999999996"/>
    <n v="18150"/>
    <n v="9861.6599999999962"/>
    <n v="0.35205553687285929"/>
  </r>
  <r>
    <s v="ORD00424"/>
    <s v="L00424"/>
    <x v="289"/>
    <x v="12"/>
    <x v="3"/>
    <s v="C0027"/>
    <x v="0"/>
    <n v="4"/>
    <n v="11999.07"/>
    <n v="0"/>
    <n v="9550"/>
    <n v="47996.28"/>
    <n v="0"/>
    <n v="47996.28"/>
    <n v="38200"/>
    <n v="9796.2799999999988"/>
    <n v="0.20410498480298889"/>
  </r>
  <r>
    <s v="ORD00425"/>
    <s v="L00425"/>
    <x v="70"/>
    <x v="12"/>
    <x v="3"/>
    <s v="C0027"/>
    <x v="1"/>
    <n v="2"/>
    <n v="11999.07"/>
    <n v="0.2"/>
    <n v="9550"/>
    <n v="23998.14"/>
    <n v="4799.6279999999997"/>
    <n v="19198.511999999999"/>
    <n v="19100"/>
    <n v="98.511999999998807"/>
    <n v="5.1312310037360609E-3"/>
  </r>
  <r>
    <s v="ORD00426"/>
    <s v="L00426"/>
    <x v="233"/>
    <x v="29"/>
    <x v="2"/>
    <s v="C0036"/>
    <x v="1"/>
    <n v="5"/>
    <n v="3804.25"/>
    <n v="0.1"/>
    <n v="2800"/>
    <n v="19021.25"/>
    <n v="1902.125"/>
    <n v="17119.125"/>
    <n v="14000"/>
    <n v="3119.125"/>
    <n v="0.18220119311004504"/>
  </r>
  <r>
    <s v="ORD00427"/>
    <s v="L00427"/>
    <x v="290"/>
    <x v="26"/>
    <x v="1"/>
    <s v="C0066"/>
    <x v="1"/>
    <n v="3"/>
    <n v="614.66"/>
    <n v="0.2"/>
    <n v="400"/>
    <n v="1843.98"/>
    <n v="368.79600000000005"/>
    <n v="1475.184"/>
    <n v="1200"/>
    <n v="275.18399999999997"/>
    <n v="0.18654215338561153"/>
  </r>
  <r>
    <s v="ORD00428"/>
    <s v="L00428"/>
    <x v="291"/>
    <x v="3"/>
    <x v="3"/>
    <s v="C0090"/>
    <x v="1"/>
    <n v="1"/>
    <n v="13204.06"/>
    <n v="0.1"/>
    <n v="11050"/>
    <n v="13204.06"/>
    <n v="1320.4059999999999"/>
    <n v="11883.653999999999"/>
    <n v="11050"/>
    <n v="833.65399999999863"/>
    <n v="7.0151318777877475E-2"/>
  </r>
  <r>
    <s v="ORD00429"/>
    <s v="L00429"/>
    <x v="229"/>
    <x v="2"/>
    <x v="4"/>
    <s v="C0063"/>
    <x v="1"/>
    <n v="3"/>
    <n v="18592.419999999998"/>
    <n v="0.05"/>
    <n v="14600"/>
    <n v="55777.259999999995"/>
    <n v="2788.8629999999998"/>
    <n v="52988.396999999997"/>
    <n v="43800"/>
    <n v="9188.3969999999972"/>
    <n v="0.17340394350861374"/>
  </r>
  <r>
    <s v="ORD00430"/>
    <s v="L00430"/>
    <x v="99"/>
    <x v="6"/>
    <x v="4"/>
    <s v="C0010"/>
    <x v="1"/>
    <n v="4"/>
    <n v="17279.419999999998"/>
    <n v="0.15"/>
    <n v="13950"/>
    <n v="69117.679999999993"/>
    <n v="10367.651999999998"/>
    <n v="58750.027999999991"/>
    <n v="55800"/>
    <n v="2950.0279999999912"/>
    <n v="5.0213218621785023E-2"/>
  </r>
  <r>
    <s v="ORD00431"/>
    <s v="L00431"/>
    <x v="183"/>
    <x v="21"/>
    <x v="4"/>
    <s v="C0063"/>
    <x v="0"/>
    <n v="3"/>
    <n v="11729.87"/>
    <n v="0.1"/>
    <n v="8950"/>
    <n v="35189.61"/>
    <n v="3518.9610000000002"/>
    <n v="31670.649000000001"/>
    <n v="26850"/>
    <n v="4820.6490000000013"/>
    <n v="0.15221187920714857"/>
  </r>
  <r>
    <s v="ORD00432"/>
    <s v="L00432"/>
    <x v="110"/>
    <x v="6"/>
    <x v="1"/>
    <s v="C0009"/>
    <x v="0"/>
    <n v="1"/>
    <n v="17279.419999999998"/>
    <n v="0.15"/>
    <n v="13950"/>
    <n v="17279.419999999998"/>
    <n v="2591.9129999999996"/>
    <n v="14687.506999999998"/>
    <n v="13950"/>
    <n v="737.50699999999779"/>
    <n v="5.0213218621785023E-2"/>
  </r>
  <r>
    <s v="ORD00433"/>
    <s v="L00433"/>
    <x v="281"/>
    <x v="4"/>
    <x v="1"/>
    <s v="C0042"/>
    <x v="0"/>
    <n v="2"/>
    <n v="19237.78"/>
    <n v="0.15"/>
    <n v="13150"/>
    <n v="38475.56"/>
    <n v="5771.3339999999998"/>
    <n v="32704.225999999999"/>
    <n v="26300"/>
    <n v="6404.2259999999987"/>
    <n v="0.19582258268396258"/>
  </r>
  <r>
    <s v="ORD00434"/>
    <s v="L00434"/>
    <x v="145"/>
    <x v="26"/>
    <x v="1"/>
    <s v="C0088"/>
    <x v="1"/>
    <n v="5"/>
    <n v="614.66"/>
    <n v="0.15"/>
    <n v="400"/>
    <n v="3073.2999999999997"/>
    <n v="460.99499999999995"/>
    <n v="2612.3049999999998"/>
    <n v="2000"/>
    <n v="612.30499999999984"/>
    <n v="0.23439261495116376"/>
  </r>
  <r>
    <s v="ORD00435"/>
    <s v="L00435"/>
    <x v="90"/>
    <x v="9"/>
    <x v="0"/>
    <s v="C0021"/>
    <x v="0"/>
    <n v="4"/>
    <n v="9389.4699999999993"/>
    <n v="0"/>
    <n v="7250"/>
    <n v="37557.879999999997"/>
    <n v="0"/>
    <n v="37557.879999999997"/>
    <n v="29000"/>
    <n v="8557.8799999999974"/>
    <n v="0.2278584414242763"/>
  </r>
  <r>
    <s v="ORD00436"/>
    <s v="L00436"/>
    <x v="292"/>
    <x v="17"/>
    <x v="3"/>
    <s v="C0084"/>
    <x v="0"/>
    <n v="4"/>
    <n v="10868.14"/>
    <n v="0.05"/>
    <n v="8850"/>
    <n v="43472.56"/>
    <n v="2173.6280000000002"/>
    <n v="41298.932000000001"/>
    <n v="35400"/>
    <n v="5898.9320000000007"/>
    <n v="0.14283497694322944"/>
  </r>
  <r>
    <s v="ORD00437"/>
    <s v="L00437"/>
    <x v="293"/>
    <x v="27"/>
    <x v="1"/>
    <s v="C0011"/>
    <x v="0"/>
    <n v="1"/>
    <n v="3335.18"/>
    <n v="0.1"/>
    <n v="2600"/>
    <n v="3335.18"/>
    <n v="333.51800000000003"/>
    <n v="3001.6619999999998"/>
    <n v="2600"/>
    <n v="401.66199999999981"/>
    <n v="0.13381320082007894"/>
  </r>
  <r>
    <s v="ORD00438"/>
    <s v="L00438"/>
    <x v="173"/>
    <x v="8"/>
    <x v="1"/>
    <s v="C0093"/>
    <x v="1"/>
    <n v="1"/>
    <n v="13787.88"/>
    <n v="0.15"/>
    <n v="9500"/>
    <n v="13787.88"/>
    <n v="2068.1819999999998"/>
    <n v="11719.698"/>
    <n v="9500"/>
    <n v="2219.6980000000003"/>
    <n v="0.18939890771929449"/>
  </r>
  <r>
    <s v="ORD00439"/>
    <s v="L00439"/>
    <x v="144"/>
    <x v="28"/>
    <x v="3"/>
    <s v="C0062"/>
    <x v="1"/>
    <n v="1"/>
    <n v="9371.8700000000008"/>
    <n v="0"/>
    <n v="5750"/>
    <n v="9371.8700000000008"/>
    <n v="0"/>
    <n v="9371.8700000000008"/>
    <n v="5750"/>
    <n v="3621.8700000000008"/>
    <n v="0.38646182672188162"/>
  </r>
  <r>
    <s v="ORD00440"/>
    <s v="L00440"/>
    <x v="260"/>
    <x v="3"/>
    <x v="0"/>
    <s v="C0002"/>
    <x v="0"/>
    <n v="5"/>
    <n v="13204.06"/>
    <n v="0.15"/>
    <n v="11050"/>
    <n v="66020.3"/>
    <n v="9903.0450000000001"/>
    <n v="56117.255000000005"/>
    <n v="55250"/>
    <n v="867.25500000000466"/>
    <n v="1.5454337529517519E-2"/>
  </r>
  <r>
    <s v="ORD00441"/>
    <s v="L00441"/>
    <x v="294"/>
    <x v="19"/>
    <x v="4"/>
    <s v="C0010"/>
    <x v="1"/>
    <n v="4"/>
    <n v="17523.439999999999"/>
    <n v="0.05"/>
    <n v="11850"/>
    <n v="70093.759999999995"/>
    <n v="3504.6880000000001"/>
    <n v="66589.072"/>
    <n v="47400"/>
    <n v="19189.072"/>
    <n v="0.28817148855896357"/>
  </r>
  <r>
    <s v="ORD00442"/>
    <s v="L00442"/>
    <x v="295"/>
    <x v="21"/>
    <x v="1"/>
    <s v="C0048"/>
    <x v="0"/>
    <n v="1"/>
    <n v="11729.87"/>
    <n v="0"/>
    <n v="8950"/>
    <n v="11729.87"/>
    <n v="0"/>
    <n v="11729.87"/>
    <n v="8950"/>
    <n v="2779.8700000000008"/>
    <n v="0.23699069128643374"/>
  </r>
  <r>
    <s v="ORD00443"/>
    <s v="L00443"/>
    <x v="296"/>
    <x v="3"/>
    <x v="0"/>
    <s v="C0068"/>
    <x v="1"/>
    <n v="2"/>
    <n v="13204.06"/>
    <n v="0.05"/>
    <n v="11050"/>
    <n v="26408.12"/>
    <n v="1320.4059999999999"/>
    <n v="25087.714"/>
    <n v="22100"/>
    <n v="2987.7139999999999"/>
    <n v="0.11909072305272612"/>
  </r>
  <r>
    <s v="ORD00444"/>
    <s v="L00444"/>
    <x v="129"/>
    <x v="15"/>
    <x v="3"/>
    <s v="C0081"/>
    <x v="1"/>
    <n v="4"/>
    <n v="12048.66"/>
    <n v="0.1"/>
    <n v="9900"/>
    <n v="48194.64"/>
    <n v="4819.4639999999999"/>
    <n v="43375.175999999999"/>
    <n v="39600"/>
    <n v="3775.1759999999995"/>
    <n v="8.7035404767003124E-2"/>
  </r>
  <r>
    <s v="ORD00445"/>
    <s v="L00445"/>
    <x v="291"/>
    <x v="16"/>
    <x v="3"/>
    <s v="C0012"/>
    <x v="1"/>
    <n v="5"/>
    <n v="10644.48"/>
    <n v="0.15"/>
    <n v="7050"/>
    <n v="53222.399999999994"/>
    <n v="7983.3599999999988"/>
    <n v="45239.039999999994"/>
    <n v="35250"/>
    <n v="9989.0399999999936"/>
    <n v="0.22080574654104054"/>
  </r>
  <r>
    <s v="ORD00446"/>
    <s v="L00446"/>
    <x v="131"/>
    <x v="3"/>
    <x v="1"/>
    <s v="C0055"/>
    <x v="0"/>
    <n v="5"/>
    <n v="13204.06"/>
    <n v="0.15"/>
    <n v="11050"/>
    <n v="66020.3"/>
    <n v="9903.0450000000001"/>
    <n v="56117.255000000005"/>
    <n v="55250"/>
    <n v="867.25500000000466"/>
    <n v="1.5454337529517519E-2"/>
  </r>
  <r>
    <s v="ORD00447"/>
    <s v="L00447"/>
    <x v="133"/>
    <x v="29"/>
    <x v="0"/>
    <s v="C0032"/>
    <x v="0"/>
    <n v="2"/>
    <n v="3804.25"/>
    <n v="0.1"/>
    <n v="2800"/>
    <n v="7608.5"/>
    <n v="760.85"/>
    <n v="6847.65"/>
    <n v="5600"/>
    <n v="1247.6499999999996"/>
    <n v="0.18220119311004501"/>
  </r>
  <r>
    <s v="ORD00448"/>
    <s v="L00448"/>
    <x v="221"/>
    <x v="25"/>
    <x v="2"/>
    <s v="C0078"/>
    <x v="1"/>
    <n v="3"/>
    <n v="3559.5"/>
    <n v="0.05"/>
    <n v="2250"/>
    <n v="10678.5"/>
    <n v="533.92500000000007"/>
    <n v="10144.575000000001"/>
    <n v="6750"/>
    <n v="3394.5750000000007"/>
    <n v="0.33461973517865468"/>
  </r>
  <r>
    <s v="ORD00449"/>
    <s v="L00449"/>
    <x v="297"/>
    <x v="14"/>
    <x v="3"/>
    <s v="C0064"/>
    <x v="0"/>
    <n v="3"/>
    <n v="9337.2199999999993"/>
    <n v="0"/>
    <n v="6050"/>
    <n v="28011.659999999996"/>
    <n v="0"/>
    <n v="28011.659999999996"/>
    <n v="18150"/>
    <n v="9861.6599999999962"/>
    <n v="0.35205553687285929"/>
  </r>
  <r>
    <s v="ORD00450"/>
    <s v="L00450"/>
    <x v="77"/>
    <x v="5"/>
    <x v="0"/>
    <s v="C0068"/>
    <x v="1"/>
    <n v="4"/>
    <n v="17336.23"/>
    <n v="0.2"/>
    <n v="14200"/>
    <n v="69344.92"/>
    <n v="13868.984"/>
    <n v="55475.936000000002"/>
    <n v="56800"/>
    <n v="-1324.0639999999985"/>
    <n v="-2.3867357551209202E-2"/>
  </r>
  <r>
    <s v="ORD00451"/>
    <s v="L00451"/>
    <x v="298"/>
    <x v="0"/>
    <x v="2"/>
    <s v="C0054"/>
    <x v="0"/>
    <n v="2"/>
    <n v="6484.94"/>
    <n v="0.15"/>
    <n v="4300"/>
    <n v="12969.88"/>
    <n v="1945.4819999999997"/>
    <n v="11024.397999999999"/>
    <n v="8600"/>
    <n v="2424.3979999999992"/>
    <n v="0.21991205324771471"/>
  </r>
  <r>
    <s v="ORD00452"/>
    <s v="L00452"/>
    <x v="165"/>
    <x v="10"/>
    <x v="0"/>
    <s v="C0076"/>
    <x v="1"/>
    <n v="4"/>
    <n v="2056.0100000000002"/>
    <n v="0"/>
    <n v="1350"/>
    <n v="8224.0400000000009"/>
    <n v="0"/>
    <n v="8224.0400000000009"/>
    <n v="5400"/>
    <n v="2824.0400000000009"/>
    <n v="0.34338840764393175"/>
  </r>
  <r>
    <s v="ORD00453"/>
    <s v="L00453"/>
    <x v="31"/>
    <x v="23"/>
    <x v="0"/>
    <s v="C0051"/>
    <x v="0"/>
    <n v="2"/>
    <n v="3694.44"/>
    <n v="0"/>
    <n v="3100"/>
    <n v="7388.88"/>
    <n v="0"/>
    <n v="7388.88"/>
    <n v="6200"/>
    <n v="1188.8800000000001"/>
    <n v="0.16090124619698792"/>
  </r>
  <r>
    <s v="ORD00454"/>
    <s v="L00454"/>
    <x v="224"/>
    <x v="20"/>
    <x v="4"/>
    <s v="C0011"/>
    <x v="1"/>
    <n v="4"/>
    <n v="12166.11"/>
    <n v="0.15"/>
    <n v="7750"/>
    <n v="48664.44"/>
    <n v="7299.6660000000002"/>
    <n v="41364.774000000005"/>
    <n v="31000"/>
    <n v="10364.774000000005"/>
    <n v="0.25057006234338436"/>
  </r>
  <r>
    <s v="ORD00455"/>
    <s v="L00455"/>
    <x v="299"/>
    <x v="13"/>
    <x v="2"/>
    <s v="C0027"/>
    <x v="1"/>
    <n v="3"/>
    <n v="19555.88"/>
    <n v="0"/>
    <n v="14200"/>
    <n v="58667.64"/>
    <n v="0"/>
    <n v="58667.64"/>
    <n v="42600"/>
    <n v="16067.64"/>
    <n v="0.27387568342616131"/>
  </r>
  <r>
    <s v="ORD00456"/>
    <s v="L00456"/>
    <x v="265"/>
    <x v="10"/>
    <x v="0"/>
    <s v="C0040"/>
    <x v="0"/>
    <n v="4"/>
    <n v="2056.0100000000002"/>
    <n v="0.2"/>
    <n v="1350"/>
    <n v="8224.0400000000009"/>
    <n v="1644.8080000000002"/>
    <n v="6579.2320000000009"/>
    <n v="5400"/>
    <n v="1179.2320000000009"/>
    <n v="0.17923550955491471"/>
  </r>
  <r>
    <s v="ORD00457"/>
    <s v="L00457"/>
    <x v="300"/>
    <x v="14"/>
    <x v="0"/>
    <s v="C0056"/>
    <x v="1"/>
    <n v="1"/>
    <n v="9337.2199999999993"/>
    <n v="0.05"/>
    <n v="6050"/>
    <n v="9337.2199999999993"/>
    <n v="466.86099999999999"/>
    <n v="8870.3589999999986"/>
    <n v="6050"/>
    <n v="2820.3589999999986"/>
    <n v="0.31795319670827293"/>
  </r>
  <r>
    <s v="ORD00458"/>
    <s v="L00458"/>
    <x v="301"/>
    <x v="17"/>
    <x v="0"/>
    <s v="C0002"/>
    <x v="1"/>
    <n v="3"/>
    <n v="10868.14"/>
    <n v="0.05"/>
    <n v="8850"/>
    <n v="32604.42"/>
    <n v="1630.221"/>
    <n v="30974.198999999997"/>
    <n v="26550"/>
    <n v="4424.1989999999969"/>
    <n v="0.14283497694322933"/>
  </r>
  <r>
    <s v="ORD00459"/>
    <s v="L00459"/>
    <x v="302"/>
    <x v="24"/>
    <x v="1"/>
    <s v="C0067"/>
    <x v="0"/>
    <n v="2"/>
    <n v="2403.0700000000002"/>
    <n v="0.15"/>
    <n v="2000"/>
    <n v="4806.1400000000003"/>
    <n v="720.92100000000005"/>
    <n v="4085.2190000000001"/>
    <n v="4000"/>
    <n v="85.219000000000051"/>
    <n v="2.0860325970284591E-2"/>
  </r>
  <r>
    <s v="ORD00460"/>
    <s v="L00460"/>
    <x v="132"/>
    <x v="27"/>
    <x v="0"/>
    <s v="C0099"/>
    <x v="1"/>
    <n v="2"/>
    <n v="3335.18"/>
    <n v="0.1"/>
    <n v="2600"/>
    <n v="6670.36"/>
    <n v="667.03600000000006"/>
    <n v="6003.3239999999996"/>
    <n v="5200"/>
    <n v="803.32399999999961"/>
    <n v="0.13381320082007894"/>
  </r>
  <r>
    <s v="ORD00461"/>
    <s v="L00461"/>
    <x v="281"/>
    <x v="26"/>
    <x v="0"/>
    <s v="C0034"/>
    <x v="1"/>
    <n v="3"/>
    <n v="614.66"/>
    <n v="0.2"/>
    <n v="400"/>
    <n v="1843.98"/>
    <n v="368.79600000000005"/>
    <n v="1475.184"/>
    <n v="1200"/>
    <n v="275.18399999999997"/>
    <n v="0.18654215338561153"/>
  </r>
  <r>
    <s v="ORD00462"/>
    <s v="L00462"/>
    <x v="303"/>
    <x v="1"/>
    <x v="0"/>
    <s v="C0064"/>
    <x v="1"/>
    <n v="5"/>
    <n v="12193.29"/>
    <n v="0.1"/>
    <n v="9950"/>
    <n v="60966.450000000004"/>
    <n v="6096.6450000000004"/>
    <n v="54869.805000000008"/>
    <n v="49750"/>
    <n v="5119.8050000000076"/>
    <n v="9.3308241208438905E-2"/>
  </r>
  <r>
    <s v="ORD00463"/>
    <s v="L00463"/>
    <x v="122"/>
    <x v="0"/>
    <x v="2"/>
    <s v="C0087"/>
    <x v="1"/>
    <n v="3"/>
    <n v="6484.94"/>
    <n v="0"/>
    <n v="4300"/>
    <n v="19454.82"/>
    <n v="0"/>
    <n v="19454.82"/>
    <n v="12900"/>
    <n v="6554.82"/>
    <n v="0.3369252452605575"/>
  </r>
  <r>
    <s v="ORD00464"/>
    <s v="L00464"/>
    <x v="304"/>
    <x v="2"/>
    <x v="0"/>
    <s v="C0032"/>
    <x v="1"/>
    <n v="1"/>
    <n v="18592.419999999998"/>
    <n v="0"/>
    <n v="14600"/>
    <n v="18592.419999999998"/>
    <n v="0"/>
    <n v="18592.419999999998"/>
    <n v="14600"/>
    <n v="3992.4199999999983"/>
    <n v="0.21473374633318301"/>
  </r>
  <r>
    <s v="ORD00465"/>
    <s v="L00465"/>
    <x v="305"/>
    <x v="1"/>
    <x v="3"/>
    <s v="C0005"/>
    <x v="0"/>
    <n v="4"/>
    <n v="12193.29"/>
    <n v="0.05"/>
    <n v="9950"/>
    <n v="48773.16"/>
    <n v="2438.6580000000004"/>
    <n v="46334.502"/>
    <n v="39800"/>
    <n v="6534.5020000000004"/>
    <n v="0.14102886009220517"/>
  </r>
  <r>
    <s v="ORD00466"/>
    <s v="L00466"/>
    <x v="306"/>
    <x v="2"/>
    <x v="1"/>
    <s v="C0035"/>
    <x v="1"/>
    <n v="2"/>
    <n v="18592.419999999998"/>
    <n v="0.15"/>
    <n v="14600"/>
    <n v="37184.839999999997"/>
    <n v="5577.7259999999997"/>
    <n v="31607.113999999998"/>
    <n v="29200"/>
    <n v="2407.1139999999978"/>
    <n v="7.6157348627274163E-2"/>
  </r>
  <r>
    <s v="ORD00467"/>
    <s v="L00467"/>
    <x v="166"/>
    <x v="6"/>
    <x v="0"/>
    <s v="C0023"/>
    <x v="1"/>
    <n v="1"/>
    <n v="17279.419999999998"/>
    <n v="0.2"/>
    <n v="13950"/>
    <n v="17279.419999999998"/>
    <n v="3455.884"/>
    <n v="13823.535999999998"/>
    <n v="13950"/>
    <n v="-126.46400000000176"/>
    <n v="-9.1484552143533873E-3"/>
  </r>
  <r>
    <s v="ORD00468"/>
    <s v="L00468"/>
    <x v="307"/>
    <x v="29"/>
    <x v="0"/>
    <s v="C0060"/>
    <x v="0"/>
    <n v="1"/>
    <n v="3804.25"/>
    <n v="0.15"/>
    <n v="2800"/>
    <n v="3804.25"/>
    <n v="570.63749999999993"/>
    <n v="3233.6125000000002"/>
    <n v="2800"/>
    <n v="433.61250000000018"/>
    <n v="0.13409538094004775"/>
  </r>
  <r>
    <s v="ORD00469"/>
    <s v="L00469"/>
    <x v="308"/>
    <x v="25"/>
    <x v="2"/>
    <s v="C0059"/>
    <x v="1"/>
    <n v="3"/>
    <n v="3559.5"/>
    <n v="0"/>
    <n v="2250"/>
    <n v="10678.5"/>
    <n v="0"/>
    <n v="10678.5"/>
    <n v="6750"/>
    <n v="3928.5"/>
    <n v="0.36788874841972186"/>
  </r>
  <r>
    <s v="ORD00470"/>
    <s v="L00470"/>
    <x v="4"/>
    <x v="0"/>
    <x v="1"/>
    <s v="C0095"/>
    <x v="1"/>
    <n v="3"/>
    <n v="6484.94"/>
    <n v="0.2"/>
    <n v="4300"/>
    <n v="19454.82"/>
    <n v="3890.9639999999999"/>
    <n v="15563.856"/>
    <n v="12900"/>
    <n v="2663.8559999999998"/>
    <n v="0.17115655657569692"/>
  </r>
  <r>
    <s v="ORD00471"/>
    <s v="L00471"/>
    <x v="200"/>
    <x v="17"/>
    <x v="3"/>
    <s v="C0094"/>
    <x v="1"/>
    <n v="5"/>
    <n v="10868.14"/>
    <n v="0.15"/>
    <n v="8850"/>
    <n v="54340.7"/>
    <n v="8151.1049999999996"/>
    <n v="46189.595000000001"/>
    <n v="44250"/>
    <n v="1939.5950000000012"/>
    <n v="4.1992033054197617E-2"/>
  </r>
  <r>
    <s v="ORD00472"/>
    <s v="L00472"/>
    <x v="309"/>
    <x v="3"/>
    <x v="3"/>
    <s v="C0070"/>
    <x v="0"/>
    <n v="4"/>
    <n v="13204.06"/>
    <n v="0"/>
    <n v="11050"/>
    <n v="52816.24"/>
    <n v="0"/>
    <n v="52816.24"/>
    <n v="44200"/>
    <n v="8616.239999999998"/>
    <n v="0.1631361869000898"/>
  </r>
  <r>
    <s v="ORD00473"/>
    <s v="L00473"/>
    <x v="32"/>
    <x v="20"/>
    <x v="4"/>
    <s v="C0095"/>
    <x v="0"/>
    <n v="3"/>
    <n v="12166.11"/>
    <n v="0"/>
    <n v="7750"/>
    <n v="36498.33"/>
    <n v="0"/>
    <n v="36498.33"/>
    <n v="23250"/>
    <n v="13248.330000000002"/>
    <n v="0.36298455299187665"/>
  </r>
  <r>
    <s v="ORD00474"/>
    <s v="L00474"/>
    <x v="310"/>
    <x v="5"/>
    <x v="4"/>
    <s v="C0063"/>
    <x v="1"/>
    <n v="5"/>
    <n v="17336.23"/>
    <n v="0.05"/>
    <n v="14200"/>
    <n v="86681.15"/>
    <n v="4334.0574999999999"/>
    <n v="82347.092499999999"/>
    <n v="71000"/>
    <n v="11347.092499999999"/>
    <n v="0.13779590943056064"/>
  </r>
  <r>
    <s v="ORD00475"/>
    <s v="L00475"/>
    <x v="311"/>
    <x v="3"/>
    <x v="3"/>
    <s v="C0067"/>
    <x v="0"/>
    <n v="1"/>
    <n v="13204.06"/>
    <n v="0"/>
    <n v="11050"/>
    <n v="13204.06"/>
    <n v="0"/>
    <n v="13204.06"/>
    <n v="11050"/>
    <n v="2154.0599999999995"/>
    <n v="0.1631361869000898"/>
  </r>
  <r>
    <s v="ORD00476"/>
    <s v="L00476"/>
    <x v="166"/>
    <x v="24"/>
    <x v="2"/>
    <s v="C0013"/>
    <x v="1"/>
    <n v="4"/>
    <n v="2403.0700000000002"/>
    <n v="0"/>
    <n v="2000"/>
    <n v="9612.2800000000007"/>
    <n v="0"/>
    <n v="9612.2800000000007"/>
    <n v="8000"/>
    <n v="1612.2800000000007"/>
    <n v="0.16773127707474195"/>
  </r>
  <r>
    <s v="ORD00477"/>
    <s v="L00477"/>
    <x v="62"/>
    <x v="20"/>
    <x v="2"/>
    <s v="C0008"/>
    <x v="0"/>
    <n v="1"/>
    <n v="12166.11"/>
    <n v="0.2"/>
    <n v="7750"/>
    <n v="12166.11"/>
    <n v="2433.2220000000002"/>
    <n v="9732.8880000000008"/>
    <n v="7750"/>
    <n v="1982.8880000000008"/>
    <n v="0.20373069123984583"/>
  </r>
  <r>
    <s v="ORD00478"/>
    <s v="L00478"/>
    <x v="145"/>
    <x v="8"/>
    <x v="1"/>
    <s v="C0041"/>
    <x v="0"/>
    <n v="2"/>
    <n v="13787.88"/>
    <n v="0.1"/>
    <n v="9500"/>
    <n v="27575.759999999998"/>
    <n v="2757.576"/>
    <n v="24818.183999999997"/>
    <n v="19000"/>
    <n v="5818.1839999999975"/>
    <n v="0.23443230173488916"/>
  </r>
  <r>
    <s v="ORD00479"/>
    <s v="L00479"/>
    <x v="265"/>
    <x v="24"/>
    <x v="1"/>
    <s v="C0030"/>
    <x v="1"/>
    <n v="3"/>
    <n v="2403.0700000000002"/>
    <n v="0.15"/>
    <n v="2000"/>
    <n v="7209.2100000000009"/>
    <n v="1081.3815000000002"/>
    <n v="6127.8285000000005"/>
    <n v="6000"/>
    <n v="127.82850000000053"/>
    <n v="2.0860325970284664E-2"/>
  </r>
  <r>
    <s v="ORD00480"/>
    <s v="L00480"/>
    <x v="272"/>
    <x v="4"/>
    <x v="3"/>
    <s v="C0014"/>
    <x v="1"/>
    <n v="5"/>
    <n v="19237.78"/>
    <n v="0"/>
    <n v="13150"/>
    <n v="96188.9"/>
    <n v="0"/>
    <n v="96188.9"/>
    <n v="65750"/>
    <n v="30438.899999999994"/>
    <n v="0.31644919528136817"/>
  </r>
  <r>
    <s v="ORD00481"/>
    <s v="L00481"/>
    <x v="312"/>
    <x v="17"/>
    <x v="0"/>
    <s v="C0069"/>
    <x v="0"/>
    <n v="3"/>
    <n v="10868.14"/>
    <n v="0.15"/>
    <n v="8850"/>
    <n v="32604.42"/>
    <n v="4890.6629999999996"/>
    <n v="27713.756999999998"/>
    <n v="26550"/>
    <n v="1163.7569999999978"/>
    <n v="4.199203305419752E-2"/>
  </r>
  <r>
    <s v="ORD00482"/>
    <s v="L00482"/>
    <x v="137"/>
    <x v="25"/>
    <x v="4"/>
    <s v="C0034"/>
    <x v="1"/>
    <n v="4"/>
    <n v="3559.5"/>
    <n v="0.1"/>
    <n v="2250"/>
    <n v="14238"/>
    <n v="1423.8000000000002"/>
    <n v="12814.2"/>
    <n v="9000"/>
    <n v="3814.2000000000007"/>
    <n v="0.2976541649108021"/>
  </r>
  <r>
    <s v="ORD00483"/>
    <s v="L00483"/>
    <x v="122"/>
    <x v="11"/>
    <x v="0"/>
    <s v="C0028"/>
    <x v="0"/>
    <n v="3"/>
    <n v="5799.34"/>
    <n v="0.2"/>
    <n v="3800"/>
    <n v="17398.02"/>
    <n v="3479.6040000000003"/>
    <n v="13918.416000000001"/>
    <n v="11400"/>
    <n v="2518.4160000000011"/>
    <n v="0.18094127952491151"/>
  </r>
  <r>
    <s v="ORD00484"/>
    <s v="L00484"/>
    <x v="144"/>
    <x v="3"/>
    <x v="4"/>
    <s v="C0066"/>
    <x v="1"/>
    <n v="2"/>
    <n v="13204.06"/>
    <n v="0.1"/>
    <n v="11050"/>
    <n v="26408.12"/>
    <n v="2640.8119999999999"/>
    <n v="23767.307999999997"/>
    <n v="22100"/>
    <n v="1667.3079999999973"/>
    <n v="7.0151318777877475E-2"/>
  </r>
  <r>
    <s v="ORD00485"/>
    <s v="L00485"/>
    <x v="313"/>
    <x v="8"/>
    <x v="0"/>
    <s v="C0052"/>
    <x v="0"/>
    <n v="3"/>
    <n v="13787.88"/>
    <n v="0.05"/>
    <n v="9500"/>
    <n v="41363.64"/>
    <n v="2068.1820000000002"/>
    <n v="39295.457999999999"/>
    <n v="28500"/>
    <n v="10795.457999999999"/>
    <n v="0.27472533848568448"/>
  </r>
  <r>
    <s v="ORD00486"/>
    <s v="L00486"/>
    <x v="51"/>
    <x v="10"/>
    <x v="0"/>
    <s v="C0018"/>
    <x v="1"/>
    <n v="1"/>
    <n v="2056.0100000000002"/>
    <n v="0.15"/>
    <n v="1350"/>
    <n v="2056.0100000000002"/>
    <n v="308.4015"/>
    <n v="1747.6085000000003"/>
    <n v="1350"/>
    <n v="397.60850000000028"/>
    <n v="0.22751577369874329"/>
  </r>
  <r>
    <s v="ORD00487"/>
    <s v="L00487"/>
    <x v="314"/>
    <x v="23"/>
    <x v="3"/>
    <s v="C0052"/>
    <x v="0"/>
    <n v="2"/>
    <n v="3694.44"/>
    <n v="0.05"/>
    <n v="3100"/>
    <n v="7388.88"/>
    <n v="369.44400000000002"/>
    <n v="7019.4359999999997"/>
    <n v="6200"/>
    <n v="819.43599999999969"/>
    <n v="0.11673815389156618"/>
  </r>
  <r>
    <s v="ORD00488"/>
    <s v="L00488"/>
    <x v="47"/>
    <x v="8"/>
    <x v="1"/>
    <s v="C0010"/>
    <x v="1"/>
    <n v="5"/>
    <n v="13787.88"/>
    <n v="0.2"/>
    <n v="9500"/>
    <n v="68939.399999999994"/>
    <n v="13787.88"/>
    <n v="55151.519999999997"/>
    <n v="47500"/>
    <n v="7651.5199999999968"/>
    <n v="0.13873633945175032"/>
  </r>
  <r>
    <s v="ORD00489"/>
    <s v="L00489"/>
    <x v="315"/>
    <x v="11"/>
    <x v="0"/>
    <s v="C0043"/>
    <x v="1"/>
    <n v="4"/>
    <n v="5799.34"/>
    <n v="0.05"/>
    <n v="3800"/>
    <n v="23197.360000000001"/>
    <n v="1159.8680000000002"/>
    <n v="22037.492000000002"/>
    <n v="15200"/>
    <n v="6837.492000000002"/>
    <n v="0.31026634065255709"/>
  </r>
  <r>
    <s v="ORD00490"/>
    <s v="L00490"/>
    <x v="63"/>
    <x v="9"/>
    <x v="2"/>
    <s v="C0056"/>
    <x v="0"/>
    <n v="1"/>
    <n v="9389.4699999999993"/>
    <n v="0.05"/>
    <n v="7250"/>
    <n v="9389.4699999999993"/>
    <n v="469.4735"/>
    <n v="8919.9964999999993"/>
    <n v="7250"/>
    <n v="1669.9964999999993"/>
    <n v="0.18721941202555398"/>
  </r>
  <r>
    <s v="ORD00491"/>
    <s v="L00491"/>
    <x v="316"/>
    <x v="1"/>
    <x v="3"/>
    <s v="C0046"/>
    <x v="1"/>
    <n v="4"/>
    <n v="12193.29"/>
    <n v="0.15"/>
    <n v="9950"/>
    <n v="48773.16"/>
    <n v="7315.9740000000002"/>
    <n v="41457.186000000002"/>
    <n v="39800"/>
    <n v="1657.1860000000015"/>
    <n v="3.9973431867758737E-2"/>
  </r>
  <r>
    <s v="ORD00492"/>
    <s v="L00492"/>
    <x v="266"/>
    <x v="16"/>
    <x v="4"/>
    <s v="C0020"/>
    <x v="1"/>
    <n v="3"/>
    <n v="10644.48"/>
    <n v="0.1"/>
    <n v="7050"/>
    <n v="31933.439999999999"/>
    <n v="3193.3440000000001"/>
    <n v="28740.095999999998"/>
    <n v="21150"/>
    <n v="7590.0959999999977"/>
    <n v="0.26409431617764945"/>
  </r>
  <r>
    <s v="ORD00493"/>
    <s v="L00493"/>
    <x v="73"/>
    <x v="15"/>
    <x v="4"/>
    <s v="C0071"/>
    <x v="0"/>
    <n v="3"/>
    <n v="12048.66"/>
    <n v="0.15"/>
    <n v="9900"/>
    <n v="36145.979999999996"/>
    <n v="5421.896999999999"/>
    <n v="30724.082999999999"/>
    <n v="29700"/>
    <n v="1024.0829999999987"/>
    <n v="3.3331605047415044E-2"/>
  </r>
  <r>
    <s v="ORD00494"/>
    <s v="L00494"/>
    <x v="289"/>
    <x v="9"/>
    <x v="3"/>
    <s v="C0054"/>
    <x v="1"/>
    <n v="3"/>
    <n v="9389.4699999999993"/>
    <n v="0.15"/>
    <n v="7250"/>
    <n v="28168.409999999996"/>
    <n v="4225.2614999999996"/>
    <n v="23943.148499999996"/>
    <n v="21750"/>
    <n v="2193.1484999999957"/>
    <n v="9.1598166381501422E-2"/>
  </r>
  <r>
    <s v="ORD00495"/>
    <s v="L00495"/>
    <x v="317"/>
    <x v="20"/>
    <x v="0"/>
    <s v="C0049"/>
    <x v="0"/>
    <n v="2"/>
    <n v="12166.11"/>
    <n v="0.2"/>
    <n v="7750"/>
    <n v="24332.22"/>
    <n v="4866.4440000000004"/>
    <n v="19465.776000000002"/>
    <n v="15500"/>
    <n v="3965.7760000000017"/>
    <n v="0.20373069123984583"/>
  </r>
  <r>
    <s v="ORD00496"/>
    <s v="L00496"/>
    <x v="318"/>
    <x v="1"/>
    <x v="2"/>
    <s v="C0042"/>
    <x v="0"/>
    <n v="3"/>
    <n v="12193.29"/>
    <n v="0.2"/>
    <n v="9950"/>
    <n v="36579.870000000003"/>
    <n v="7315.9740000000011"/>
    <n v="29263.896000000001"/>
    <n v="29850"/>
    <n v="-586.10399999999936"/>
    <n v="-2.0028228640506355E-2"/>
  </r>
  <r>
    <s v="ORD00497"/>
    <s v="L00497"/>
    <x v="120"/>
    <x v="13"/>
    <x v="2"/>
    <s v="C0029"/>
    <x v="1"/>
    <n v="1"/>
    <n v="19555.88"/>
    <n v="0.1"/>
    <n v="14200"/>
    <n v="19555.88"/>
    <n v="1955.5880000000002"/>
    <n v="17600.292000000001"/>
    <n v="14200"/>
    <n v="3400.2920000000013"/>
    <n v="0.19319520380684599"/>
  </r>
  <r>
    <s v="ORD00498"/>
    <s v="L00498"/>
    <x v="319"/>
    <x v="7"/>
    <x v="2"/>
    <s v="C0046"/>
    <x v="1"/>
    <n v="1"/>
    <n v="11889.76"/>
    <n v="0.15"/>
    <n v="9300"/>
    <n v="11889.76"/>
    <n v="1783.4639999999999"/>
    <n v="10106.296"/>
    <n v="9300"/>
    <n v="806.29600000000028"/>
    <n v="7.9781553993668916E-2"/>
  </r>
  <r>
    <s v="ORD00499"/>
    <s v="L00499"/>
    <x v="24"/>
    <x v="27"/>
    <x v="1"/>
    <s v="C0069"/>
    <x v="1"/>
    <n v="2"/>
    <n v="3335.18"/>
    <n v="0.05"/>
    <n v="2600"/>
    <n v="6670.36"/>
    <n v="333.51800000000003"/>
    <n v="6336.8419999999996"/>
    <n v="5200"/>
    <n v="1136.8419999999996"/>
    <n v="0.17940197972428534"/>
  </r>
  <r>
    <s v="ORD00500"/>
    <s v="L00500"/>
    <x v="320"/>
    <x v="25"/>
    <x v="1"/>
    <s v="C0023"/>
    <x v="1"/>
    <n v="5"/>
    <n v="3559.5"/>
    <n v="0.15"/>
    <n v="2250"/>
    <n v="17797.5"/>
    <n v="2669.625"/>
    <n v="15127.875"/>
    <n v="11250"/>
    <n v="3877.875"/>
    <n v="0.2563397040232022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3E004DD-6D5E-4219-A05B-E6D438E36545}" name="PivotTable2" cacheId="4" applyNumberFormats="0" applyBorderFormats="0" applyFontFormats="0" applyPatternFormats="0" applyAlignmentFormats="0" applyWidthHeightFormats="1" dataCaption="Values" updatedVersion="8" minRefreshableVersion="3" useAutoFormatting="1" itemPrintTitles="1" createdVersion="8" indent="0" multipleFieldFilters="0" chartFormat="8">
  <location ref="B1:C12" firstHeaderRow="1" firstDataRow="1" firstDataCol="1"/>
  <pivotFields count="19">
    <pivotField showAll="0"/>
    <pivotField showAll="0"/>
    <pivotField numFmtId="14" showAll="0">
      <items count="322">
        <item x="292"/>
        <item x="110"/>
        <item x="50"/>
        <item x="309"/>
        <item x="213"/>
        <item x="32"/>
        <item x="76"/>
        <item x="302"/>
        <item x="220"/>
        <item x="1"/>
        <item x="276"/>
        <item x="267"/>
        <item x="221"/>
        <item x="179"/>
        <item x="206"/>
        <item x="316"/>
        <item x="140"/>
        <item x="7"/>
        <item x="195"/>
        <item x="248"/>
        <item x="103"/>
        <item x="37"/>
        <item x="216"/>
        <item x="164"/>
        <item x="186"/>
        <item x="84"/>
        <item x="263"/>
        <item x="125"/>
        <item x="212"/>
        <item x="222"/>
        <item x="167"/>
        <item x="301"/>
        <item x="233"/>
        <item x="95"/>
        <item x="251"/>
        <item x="314"/>
        <item x="282"/>
        <item x="87"/>
        <item x="277"/>
        <item x="185"/>
        <item x="64"/>
        <item x="39"/>
        <item x="245"/>
        <item x="202"/>
        <item x="257"/>
        <item x="13"/>
        <item x="196"/>
        <item x="157"/>
        <item x="2"/>
        <item x="180"/>
        <item x="97"/>
        <item x="21"/>
        <item x="299"/>
        <item x="47"/>
        <item x="289"/>
        <item x="295"/>
        <item x="163"/>
        <item x="144"/>
        <item x="262"/>
        <item x="127"/>
        <item x="256"/>
        <item x="90"/>
        <item x="24"/>
        <item x="172"/>
        <item x="35"/>
        <item x="27"/>
        <item x="278"/>
        <item x="243"/>
        <item x="94"/>
        <item x="40"/>
        <item x="214"/>
        <item x="81"/>
        <item x="294"/>
        <item x="228"/>
        <item x="146"/>
        <item x="131"/>
        <item x="96"/>
        <item x="139"/>
        <item x="204"/>
        <item x="145"/>
        <item x="128"/>
        <item x="237"/>
        <item x="246"/>
        <item x="272"/>
        <item x="286"/>
        <item x="269"/>
        <item x="133"/>
        <item x="151"/>
        <item x="115"/>
        <item x="229"/>
        <item x="88"/>
        <item x="55"/>
        <item x="65"/>
        <item x="205"/>
        <item x="122"/>
        <item x="53"/>
        <item x="210"/>
        <item x="102"/>
        <item x="0"/>
        <item x="238"/>
        <item x="67"/>
        <item x="129"/>
        <item x="173"/>
        <item x="118"/>
        <item x="270"/>
        <item x="261"/>
        <item x="165"/>
        <item x="225"/>
        <item x="44"/>
        <item x="234"/>
        <item x="120"/>
        <item x="285"/>
        <item x="266"/>
        <item x="105"/>
        <item x="17"/>
        <item x="190"/>
        <item x="259"/>
        <item x="49"/>
        <item x="271"/>
        <item x="283"/>
        <item x="315"/>
        <item x="176"/>
        <item x="4"/>
        <item x="310"/>
        <item x="57"/>
        <item x="137"/>
        <item x="154"/>
        <item x="75"/>
        <item x="255"/>
        <item x="66"/>
        <item x="320"/>
        <item x="6"/>
        <item x="78"/>
        <item x="177"/>
        <item x="107"/>
        <item x="260"/>
        <item x="38"/>
        <item x="20"/>
        <item x="239"/>
        <item x="14"/>
        <item x="138"/>
        <item x="300"/>
        <item x="91"/>
        <item x="77"/>
        <item x="209"/>
        <item x="223"/>
        <item x="48"/>
        <item x="73"/>
        <item x="5"/>
        <item x="51"/>
        <item x="98"/>
        <item x="168"/>
        <item x="121"/>
        <item x="22"/>
        <item x="31"/>
        <item x="226"/>
        <item x="150"/>
        <item x="254"/>
        <item x="99"/>
        <item x="230"/>
        <item x="60"/>
        <item x="293"/>
        <item x="30"/>
        <item x="100"/>
        <item x="149"/>
        <item x="311"/>
        <item x="319"/>
        <item x="28"/>
        <item x="93"/>
        <item x="153"/>
        <item x="174"/>
        <item x="54"/>
        <item x="45"/>
        <item x="106"/>
        <item x="181"/>
        <item x="235"/>
        <item x="108"/>
        <item x="290"/>
        <item x="188"/>
        <item x="141"/>
        <item x="43"/>
        <item x="227"/>
        <item x="313"/>
        <item x="23"/>
        <item x="69"/>
        <item x="26"/>
        <item x="162"/>
        <item x="80"/>
        <item x="34"/>
        <item x="201"/>
        <item x="189"/>
        <item x="308"/>
        <item x="147"/>
        <item x="284"/>
        <item x="18"/>
        <item x="264"/>
        <item x="298"/>
        <item x="218"/>
        <item x="199"/>
        <item x="306"/>
        <item x="161"/>
        <item x="265"/>
        <item x="244"/>
        <item x="231"/>
        <item x="114"/>
        <item x="36"/>
        <item x="136"/>
        <item x="236"/>
        <item x="219"/>
        <item x="142"/>
        <item x="207"/>
        <item x="79"/>
        <item x="208"/>
        <item x="25"/>
        <item x="169"/>
        <item x="126"/>
        <item x="184"/>
        <item x="156"/>
        <item x="274"/>
        <item x="119"/>
        <item x="240"/>
        <item x="83"/>
        <item x="171"/>
        <item x="305"/>
        <item x="215"/>
        <item x="200"/>
        <item x="33"/>
        <item x="132"/>
        <item x="166"/>
        <item x="242"/>
        <item x="275"/>
        <item x="68"/>
        <item x="170"/>
        <item x="111"/>
        <item x="74"/>
        <item x="58"/>
        <item x="113"/>
        <item x="296"/>
        <item x="112"/>
        <item x="268"/>
        <item x="191"/>
        <item x="297"/>
        <item x="211"/>
        <item x="62"/>
        <item x="130"/>
        <item x="116"/>
        <item x="15"/>
        <item x="11"/>
        <item x="104"/>
        <item x="61"/>
        <item x="241"/>
        <item x="273"/>
        <item x="291"/>
        <item x="56"/>
        <item x="89"/>
        <item x="158"/>
        <item x="59"/>
        <item x="71"/>
        <item x="10"/>
        <item x="123"/>
        <item x="279"/>
        <item x="143"/>
        <item x="70"/>
        <item x="281"/>
        <item x="258"/>
        <item x="42"/>
        <item x="280"/>
        <item x="41"/>
        <item x="193"/>
        <item x="249"/>
        <item x="86"/>
        <item x="46"/>
        <item x="52"/>
        <item x="135"/>
        <item x="198"/>
        <item x="12"/>
        <item x="253"/>
        <item x="92"/>
        <item x="152"/>
        <item x="16"/>
        <item x="303"/>
        <item x="109"/>
        <item x="182"/>
        <item x="159"/>
        <item x="63"/>
        <item x="247"/>
        <item x="187"/>
        <item x="312"/>
        <item x="175"/>
        <item x="101"/>
        <item x="9"/>
        <item x="217"/>
        <item x="3"/>
        <item x="232"/>
        <item x="148"/>
        <item x="124"/>
        <item x="72"/>
        <item x="318"/>
        <item x="8"/>
        <item x="117"/>
        <item x="29"/>
        <item x="134"/>
        <item x="85"/>
        <item x="287"/>
        <item x="252"/>
        <item x="155"/>
        <item x="224"/>
        <item x="178"/>
        <item x="250"/>
        <item x="19"/>
        <item x="304"/>
        <item x="160"/>
        <item x="288"/>
        <item x="194"/>
        <item x="183"/>
        <item x="307"/>
        <item x="203"/>
        <item x="197"/>
        <item x="192"/>
        <item x="82"/>
        <item x="317"/>
        <item t="default"/>
      </items>
    </pivotField>
    <pivotField axis="axisRow" showAll="0" measureFilter="1" sortType="descending">
      <items count="31">
        <item x="23"/>
        <item x="9"/>
        <item x="11"/>
        <item x="5"/>
        <item x="3"/>
        <item x="27"/>
        <item x="4"/>
        <item x="2"/>
        <item x="13"/>
        <item x="22"/>
        <item x="26"/>
        <item x="0"/>
        <item x="21"/>
        <item x="28"/>
        <item x="17"/>
        <item x="1"/>
        <item x="18"/>
        <item x="10"/>
        <item x="6"/>
        <item x="15"/>
        <item x="20"/>
        <item x="8"/>
        <item x="24"/>
        <item x="14"/>
        <item x="25"/>
        <item x="29"/>
        <item x="19"/>
        <item x="12"/>
        <item x="7"/>
        <item x="16"/>
        <item t="default"/>
      </items>
      <autoSortScope>
        <pivotArea dataOnly="0" outline="0" fieldPosition="0">
          <references count="1">
            <reference field="4294967294" count="1" selected="0">
              <x v="0"/>
            </reference>
          </references>
        </pivotArea>
      </autoSortScope>
    </pivotField>
    <pivotField showAll="0">
      <items count="6">
        <item x="0"/>
        <item x="3"/>
        <item x="1"/>
        <item x="4"/>
        <item x="2"/>
        <item t="default"/>
      </items>
    </pivotField>
    <pivotField showAll="0"/>
    <pivotField showAll="0">
      <items count="3">
        <item x="1"/>
        <item x="0"/>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items count="5">
        <item x="0"/>
        <item x="1"/>
        <item x="2"/>
        <item x="3"/>
        <item t="default"/>
      </items>
    </pivotField>
  </pivotFields>
  <rowFields count="1">
    <field x="3"/>
  </rowFields>
  <rowItems count="11">
    <i>
      <x v="26"/>
    </i>
    <i>
      <x v="9"/>
    </i>
    <i>
      <x v="21"/>
    </i>
    <i>
      <x v="20"/>
    </i>
    <i>
      <x v="8"/>
    </i>
    <i>
      <x v="13"/>
    </i>
    <i>
      <x v="6"/>
    </i>
    <i>
      <x v="29"/>
    </i>
    <i>
      <x v="7"/>
    </i>
    <i>
      <x v="23"/>
    </i>
    <i t="grand">
      <x/>
    </i>
  </rowItems>
  <colItems count="1">
    <i/>
  </colItems>
  <dataFields count="1">
    <dataField name="Sum of GrossProfit" fld="15" baseField="0" baseItem="0"/>
  </dataFields>
  <chartFormats count="1">
    <chartFormat chart="4"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ECDCA41-4CED-495C-9ED9-B0339676E4AE}" name="PivotTable1" cacheId="4" applyNumberFormats="0" applyBorderFormats="0" applyFontFormats="0" applyPatternFormats="0" applyAlignmentFormats="0" applyWidthHeightFormats="1" dataCaption="Values" updatedVersion="8" minRefreshableVersion="3" useAutoFormatting="1" itemPrintTitles="1" createdVersion="8" indent="0" multipleFieldFilters="0" chartFormat="4">
  <location ref="B3:C6" firstHeaderRow="1" firstDataRow="1" firstDataCol="1"/>
  <pivotFields count="19">
    <pivotField showAll="0"/>
    <pivotField showAll="0"/>
    <pivotField numFmtId="14" showAll="0">
      <items count="322">
        <item x="292"/>
        <item x="110"/>
        <item x="50"/>
        <item x="309"/>
        <item x="213"/>
        <item x="32"/>
        <item x="76"/>
        <item x="302"/>
        <item x="220"/>
        <item x="1"/>
        <item x="276"/>
        <item x="267"/>
        <item x="221"/>
        <item x="179"/>
        <item x="206"/>
        <item x="316"/>
        <item x="140"/>
        <item x="7"/>
        <item x="195"/>
        <item x="248"/>
        <item x="103"/>
        <item x="37"/>
        <item x="216"/>
        <item x="164"/>
        <item x="186"/>
        <item x="84"/>
        <item x="263"/>
        <item x="125"/>
        <item x="212"/>
        <item x="222"/>
        <item x="167"/>
        <item x="301"/>
        <item x="233"/>
        <item x="95"/>
        <item x="251"/>
        <item x="314"/>
        <item x="282"/>
        <item x="87"/>
        <item x="277"/>
        <item x="185"/>
        <item x="64"/>
        <item x="39"/>
        <item x="245"/>
        <item x="202"/>
        <item x="257"/>
        <item x="13"/>
        <item x="196"/>
        <item x="157"/>
        <item x="2"/>
        <item x="180"/>
        <item x="97"/>
        <item x="21"/>
        <item x="299"/>
        <item x="47"/>
        <item x="289"/>
        <item x="295"/>
        <item x="163"/>
        <item x="144"/>
        <item x="262"/>
        <item x="127"/>
        <item x="256"/>
        <item x="90"/>
        <item x="24"/>
        <item x="172"/>
        <item x="35"/>
        <item x="27"/>
        <item x="278"/>
        <item x="243"/>
        <item x="94"/>
        <item x="40"/>
        <item x="214"/>
        <item x="81"/>
        <item x="294"/>
        <item x="228"/>
        <item x="146"/>
        <item x="131"/>
        <item x="96"/>
        <item x="139"/>
        <item x="204"/>
        <item x="145"/>
        <item x="128"/>
        <item x="237"/>
        <item x="246"/>
        <item x="272"/>
        <item x="286"/>
        <item x="269"/>
        <item x="133"/>
        <item x="151"/>
        <item x="115"/>
        <item x="229"/>
        <item x="88"/>
        <item x="55"/>
        <item x="65"/>
        <item x="205"/>
        <item x="122"/>
        <item x="53"/>
        <item x="210"/>
        <item x="102"/>
        <item x="0"/>
        <item x="238"/>
        <item x="67"/>
        <item x="129"/>
        <item x="173"/>
        <item x="118"/>
        <item x="270"/>
        <item x="261"/>
        <item x="165"/>
        <item x="225"/>
        <item x="44"/>
        <item x="234"/>
        <item x="120"/>
        <item x="285"/>
        <item x="266"/>
        <item x="105"/>
        <item x="17"/>
        <item x="190"/>
        <item x="259"/>
        <item x="49"/>
        <item x="271"/>
        <item x="283"/>
        <item x="315"/>
        <item x="176"/>
        <item x="4"/>
        <item x="310"/>
        <item x="57"/>
        <item x="137"/>
        <item x="154"/>
        <item x="75"/>
        <item x="255"/>
        <item x="66"/>
        <item x="320"/>
        <item x="6"/>
        <item x="78"/>
        <item x="177"/>
        <item x="107"/>
        <item x="260"/>
        <item x="38"/>
        <item x="20"/>
        <item x="239"/>
        <item x="14"/>
        <item x="138"/>
        <item x="300"/>
        <item x="91"/>
        <item x="77"/>
        <item x="209"/>
        <item x="223"/>
        <item x="48"/>
        <item x="73"/>
        <item x="5"/>
        <item x="51"/>
        <item x="98"/>
        <item x="168"/>
        <item x="121"/>
        <item x="22"/>
        <item x="31"/>
        <item x="226"/>
        <item x="150"/>
        <item x="254"/>
        <item x="99"/>
        <item x="230"/>
        <item x="60"/>
        <item x="293"/>
        <item x="30"/>
        <item x="100"/>
        <item x="149"/>
        <item x="311"/>
        <item x="319"/>
        <item x="28"/>
        <item x="93"/>
        <item x="153"/>
        <item x="174"/>
        <item x="54"/>
        <item x="45"/>
        <item x="106"/>
        <item x="181"/>
        <item x="235"/>
        <item x="108"/>
        <item x="290"/>
        <item x="188"/>
        <item x="141"/>
        <item x="43"/>
        <item x="227"/>
        <item x="313"/>
        <item x="23"/>
        <item x="69"/>
        <item x="26"/>
        <item x="162"/>
        <item x="80"/>
        <item x="34"/>
        <item x="201"/>
        <item x="189"/>
        <item x="308"/>
        <item x="147"/>
        <item x="284"/>
        <item x="18"/>
        <item x="264"/>
        <item x="298"/>
        <item x="218"/>
        <item x="199"/>
        <item x="306"/>
        <item x="161"/>
        <item x="265"/>
        <item x="244"/>
        <item x="231"/>
        <item x="114"/>
        <item x="36"/>
        <item x="136"/>
        <item x="236"/>
        <item x="219"/>
        <item x="142"/>
        <item x="207"/>
        <item x="79"/>
        <item x="208"/>
        <item x="25"/>
        <item x="169"/>
        <item x="126"/>
        <item x="184"/>
        <item x="156"/>
        <item x="274"/>
        <item x="119"/>
        <item x="240"/>
        <item x="83"/>
        <item x="171"/>
        <item x="305"/>
        <item x="215"/>
        <item x="200"/>
        <item x="33"/>
        <item x="132"/>
        <item x="166"/>
        <item x="242"/>
        <item x="275"/>
        <item x="68"/>
        <item x="170"/>
        <item x="111"/>
        <item x="74"/>
        <item x="58"/>
        <item x="113"/>
        <item x="296"/>
        <item x="112"/>
        <item x="268"/>
        <item x="191"/>
        <item x="297"/>
        <item x="211"/>
        <item x="62"/>
        <item x="130"/>
        <item x="116"/>
        <item x="15"/>
        <item x="11"/>
        <item x="104"/>
        <item x="61"/>
        <item x="241"/>
        <item x="273"/>
        <item x="291"/>
        <item x="56"/>
        <item x="89"/>
        <item x="158"/>
        <item x="59"/>
        <item x="71"/>
        <item x="10"/>
        <item x="123"/>
        <item x="279"/>
        <item x="143"/>
        <item x="70"/>
        <item x="281"/>
        <item x="258"/>
        <item x="42"/>
        <item x="280"/>
        <item x="41"/>
        <item x="193"/>
        <item x="249"/>
        <item x="86"/>
        <item x="46"/>
        <item x="52"/>
        <item x="135"/>
        <item x="198"/>
        <item x="12"/>
        <item x="253"/>
        <item x="92"/>
        <item x="152"/>
        <item x="16"/>
        <item x="303"/>
        <item x="109"/>
        <item x="182"/>
        <item x="159"/>
        <item x="63"/>
        <item x="247"/>
        <item x="187"/>
        <item x="312"/>
        <item x="175"/>
        <item x="101"/>
        <item x="9"/>
        <item x="217"/>
        <item x="3"/>
        <item x="232"/>
        <item x="148"/>
        <item x="124"/>
        <item x="72"/>
        <item x="318"/>
        <item x="8"/>
        <item x="117"/>
        <item x="29"/>
        <item x="134"/>
        <item x="85"/>
        <item x="287"/>
        <item x="252"/>
        <item x="155"/>
        <item x="224"/>
        <item x="178"/>
        <item x="250"/>
        <item x="19"/>
        <item x="304"/>
        <item x="160"/>
        <item x="288"/>
        <item x="194"/>
        <item x="183"/>
        <item x="307"/>
        <item x="203"/>
        <item x="197"/>
        <item x="192"/>
        <item x="82"/>
        <item x="317"/>
        <item t="default"/>
      </items>
    </pivotField>
    <pivotField showAll="0"/>
    <pivotField showAll="0">
      <items count="6">
        <item x="0"/>
        <item x="3"/>
        <item x="1"/>
        <item x="4"/>
        <item x="2"/>
        <item t="default"/>
      </items>
    </pivotField>
    <pivotField showAll="0"/>
    <pivotField axis="axisRow" showAll="0">
      <items count="3">
        <item x="1"/>
        <item x="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items count="5">
        <item x="0"/>
        <item x="1"/>
        <item x="2"/>
        <item x="3"/>
        <item t="default"/>
      </items>
    </pivotField>
  </pivotFields>
  <rowFields count="1">
    <field x="6"/>
  </rowFields>
  <rowItems count="3">
    <i>
      <x/>
    </i>
    <i>
      <x v="1"/>
    </i>
    <i t="grand">
      <x/>
    </i>
  </rowItems>
  <colItems count="1">
    <i/>
  </colItems>
  <dataFields count="1">
    <dataField name="Sum of SalesAfterDiscount" fld="13" baseField="0" baseItem="0"/>
  </dataFields>
  <chartFormats count="3">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6" count="1" selected="0">
            <x v="0"/>
          </reference>
        </references>
      </pivotArea>
    </chartFormat>
    <chartFormat chart="2" format="3">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0D4CC86-1D97-4CE5-8F10-7A6AF16AD7E4}" name="PivotTable2" cacheId="4" applyNumberFormats="0" applyBorderFormats="0" applyFontFormats="0" applyPatternFormats="0" applyAlignmentFormats="0" applyWidthHeightFormats="1" dataCaption="Values" updatedVersion="8" minRefreshableVersion="3" useAutoFormatting="1" itemPrintTitles="1" createdVersion="8" indent="0" multipleFieldFilters="0" chartFormat="7">
  <location ref="E3:F24" firstHeaderRow="1" firstDataRow="1" firstDataCol="1"/>
  <pivotFields count="19">
    <pivotField showAll="0"/>
    <pivotField showAll="0"/>
    <pivotField numFmtId="14" showAll="0">
      <items count="322">
        <item x="292"/>
        <item x="110"/>
        <item x="50"/>
        <item x="309"/>
        <item x="213"/>
        <item x="32"/>
        <item x="76"/>
        <item x="302"/>
        <item x="220"/>
        <item x="1"/>
        <item x="276"/>
        <item x="267"/>
        <item x="221"/>
        <item x="179"/>
        <item x="206"/>
        <item x="316"/>
        <item x="140"/>
        <item x="7"/>
        <item x="195"/>
        <item x="248"/>
        <item x="103"/>
        <item x="37"/>
        <item x="216"/>
        <item x="164"/>
        <item x="186"/>
        <item x="84"/>
        <item x="263"/>
        <item x="125"/>
        <item x="212"/>
        <item x="222"/>
        <item x="167"/>
        <item x="301"/>
        <item x="233"/>
        <item x="95"/>
        <item x="251"/>
        <item x="314"/>
        <item x="282"/>
        <item x="87"/>
        <item x="277"/>
        <item x="185"/>
        <item x="64"/>
        <item x="39"/>
        <item x="245"/>
        <item x="202"/>
        <item x="257"/>
        <item x="13"/>
        <item x="196"/>
        <item x="157"/>
        <item x="2"/>
        <item x="180"/>
        <item x="97"/>
        <item x="21"/>
        <item x="299"/>
        <item x="47"/>
        <item x="289"/>
        <item x="295"/>
        <item x="163"/>
        <item x="144"/>
        <item x="262"/>
        <item x="127"/>
        <item x="256"/>
        <item x="90"/>
        <item x="24"/>
        <item x="172"/>
        <item x="35"/>
        <item x="27"/>
        <item x="278"/>
        <item x="243"/>
        <item x="94"/>
        <item x="40"/>
        <item x="214"/>
        <item x="81"/>
        <item x="294"/>
        <item x="228"/>
        <item x="146"/>
        <item x="131"/>
        <item x="96"/>
        <item x="139"/>
        <item x="204"/>
        <item x="145"/>
        <item x="128"/>
        <item x="237"/>
        <item x="246"/>
        <item x="272"/>
        <item x="286"/>
        <item x="269"/>
        <item x="133"/>
        <item x="151"/>
        <item x="115"/>
        <item x="229"/>
        <item x="88"/>
        <item x="55"/>
        <item x="65"/>
        <item x="205"/>
        <item x="122"/>
        <item x="53"/>
        <item x="210"/>
        <item x="102"/>
        <item x="0"/>
        <item x="238"/>
        <item x="67"/>
        <item x="129"/>
        <item x="173"/>
        <item x="118"/>
        <item x="270"/>
        <item x="261"/>
        <item x="165"/>
        <item x="225"/>
        <item x="44"/>
        <item x="234"/>
        <item x="120"/>
        <item x="285"/>
        <item x="266"/>
        <item x="105"/>
        <item x="17"/>
        <item x="190"/>
        <item x="259"/>
        <item x="49"/>
        <item x="271"/>
        <item x="283"/>
        <item x="315"/>
        <item x="176"/>
        <item x="4"/>
        <item x="310"/>
        <item x="57"/>
        <item x="137"/>
        <item x="154"/>
        <item x="75"/>
        <item x="255"/>
        <item x="66"/>
        <item x="320"/>
        <item x="6"/>
        <item x="78"/>
        <item x="177"/>
        <item x="107"/>
        <item x="260"/>
        <item x="38"/>
        <item x="20"/>
        <item x="239"/>
        <item x="14"/>
        <item x="138"/>
        <item x="300"/>
        <item x="91"/>
        <item x="77"/>
        <item x="209"/>
        <item x="223"/>
        <item x="48"/>
        <item x="73"/>
        <item x="5"/>
        <item x="51"/>
        <item x="98"/>
        <item x="168"/>
        <item x="121"/>
        <item x="22"/>
        <item x="31"/>
        <item x="226"/>
        <item x="150"/>
        <item x="254"/>
        <item x="99"/>
        <item x="230"/>
        <item x="60"/>
        <item x="293"/>
        <item x="30"/>
        <item x="100"/>
        <item x="149"/>
        <item x="311"/>
        <item x="319"/>
        <item x="28"/>
        <item x="93"/>
        <item x="153"/>
        <item x="174"/>
        <item x="54"/>
        <item x="45"/>
        <item x="106"/>
        <item x="181"/>
        <item x="235"/>
        <item x="108"/>
        <item x="290"/>
        <item x="188"/>
        <item x="141"/>
        <item x="43"/>
        <item x="227"/>
        <item x="313"/>
        <item x="23"/>
        <item x="69"/>
        <item x="26"/>
        <item x="162"/>
        <item x="80"/>
        <item x="34"/>
        <item x="201"/>
        <item x="189"/>
        <item x="308"/>
        <item x="147"/>
        <item x="284"/>
        <item x="18"/>
        <item x="264"/>
        <item x="298"/>
        <item x="218"/>
        <item x="199"/>
        <item x="306"/>
        <item x="161"/>
        <item x="265"/>
        <item x="244"/>
        <item x="231"/>
        <item x="114"/>
        <item x="36"/>
        <item x="136"/>
        <item x="236"/>
        <item x="219"/>
        <item x="142"/>
        <item x="207"/>
        <item x="79"/>
        <item x="208"/>
        <item x="25"/>
        <item x="169"/>
        <item x="126"/>
        <item x="184"/>
        <item x="156"/>
        <item x="274"/>
        <item x="119"/>
        <item x="240"/>
        <item x="83"/>
        <item x="171"/>
        <item x="305"/>
        <item x="215"/>
        <item x="200"/>
        <item x="33"/>
        <item x="132"/>
        <item x="166"/>
        <item x="242"/>
        <item x="275"/>
        <item x="68"/>
        <item x="170"/>
        <item x="111"/>
        <item x="74"/>
        <item x="58"/>
        <item x="113"/>
        <item x="296"/>
        <item x="112"/>
        <item x="268"/>
        <item x="191"/>
        <item x="297"/>
        <item x="211"/>
        <item x="62"/>
        <item x="130"/>
        <item x="116"/>
        <item x="15"/>
        <item x="11"/>
        <item x="104"/>
        <item x="61"/>
        <item x="241"/>
        <item x="273"/>
        <item x="291"/>
        <item x="56"/>
        <item x="89"/>
        <item x="158"/>
        <item x="59"/>
        <item x="71"/>
        <item x="10"/>
        <item x="123"/>
        <item x="279"/>
        <item x="143"/>
        <item x="70"/>
        <item x="281"/>
        <item x="258"/>
        <item x="42"/>
        <item x="280"/>
        <item x="41"/>
        <item x="193"/>
        <item x="249"/>
        <item x="86"/>
        <item x="46"/>
        <item x="52"/>
        <item x="135"/>
        <item x="198"/>
        <item x="12"/>
        <item x="253"/>
        <item x="92"/>
        <item x="152"/>
        <item x="16"/>
        <item x="303"/>
        <item x="109"/>
        <item x="182"/>
        <item x="159"/>
        <item x="63"/>
        <item x="247"/>
        <item x="187"/>
        <item x="312"/>
        <item x="175"/>
        <item x="101"/>
        <item x="9"/>
        <item x="217"/>
        <item x="3"/>
        <item x="232"/>
        <item x="148"/>
        <item x="124"/>
        <item x="72"/>
        <item x="318"/>
        <item x="8"/>
        <item x="117"/>
        <item x="29"/>
        <item x="134"/>
        <item x="85"/>
        <item x="287"/>
        <item x="252"/>
        <item x="155"/>
        <item x="224"/>
        <item x="178"/>
        <item x="250"/>
        <item x="19"/>
        <item x="304"/>
        <item x="160"/>
        <item x="288"/>
        <item x="194"/>
        <item x="183"/>
        <item x="307"/>
        <item x="203"/>
        <item x="197"/>
        <item x="192"/>
        <item x="82"/>
        <item x="317"/>
        <item t="default"/>
      </items>
    </pivotField>
    <pivotField showAll="0"/>
    <pivotField showAll="0">
      <items count="6">
        <item x="0"/>
        <item x="3"/>
        <item x="1"/>
        <item x="4"/>
        <item x="2"/>
        <item t="default"/>
      </items>
    </pivotField>
    <pivotField showAll="0"/>
    <pivotField showAll="0">
      <items count="3">
        <item x="1"/>
        <item x="0"/>
        <item t="default"/>
      </items>
    </pivotField>
    <pivotField showAll="0"/>
    <pivotField showAll="0"/>
    <pivotField showAll="0"/>
    <pivotField showAll="0"/>
    <pivotField showAll="0"/>
    <pivotField showAll="0"/>
    <pivotField dataField="1" showAll="0"/>
    <pivotField showAll="0"/>
    <pivotField showAll="0"/>
    <pivotField showAll="0"/>
    <pivotField axis="axisRow" showAll="0">
      <items count="15">
        <item x="0"/>
        <item x="1"/>
        <item x="2"/>
        <item x="3"/>
        <item x="4"/>
        <item x="5"/>
        <item x="6"/>
        <item x="7"/>
        <item x="8"/>
        <item x="9"/>
        <item x="10"/>
        <item x="11"/>
        <item x="12"/>
        <item x="13"/>
        <item t="default"/>
      </items>
    </pivotField>
    <pivotField axis="axisRow" showAll="0">
      <items count="5">
        <item x="0"/>
        <item x="1"/>
        <item x="2"/>
        <item x="3"/>
        <item t="default"/>
      </items>
    </pivotField>
  </pivotFields>
  <rowFields count="2">
    <field x="18"/>
    <field x="17"/>
  </rowFields>
  <rowItems count="21">
    <i>
      <x v="1"/>
    </i>
    <i r="1">
      <x v="1"/>
    </i>
    <i r="1">
      <x v="2"/>
    </i>
    <i r="1">
      <x v="3"/>
    </i>
    <i r="1">
      <x v="4"/>
    </i>
    <i r="1">
      <x v="5"/>
    </i>
    <i r="1">
      <x v="6"/>
    </i>
    <i r="1">
      <x v="7"/>
    </i>
    <i r="1">
      <x v="8"/>
    </i>
    <i r="1">
      <x v="9"/>
    </i>
    <i r="1">
      <x v="10"/>
    </i>
    <i r="1">
      <x v="11"/>
    </i>
    <i r="1">
      <x v="12"/>
    </i>
    <i>
      <x v="2"/>
    </i>
    <i r="1">
      <x v="1"/>
    </i>
    <i r="1">
      <x v="2"/>
    </i>
    <i r="1">
      <x v="3"/>
    </i>
    <i r="1">
      <x v="4"/>
    </i>
    <i r="1">
      <x v="5"/>
    </i>
    <i r="1">
      <x v="6"/>
    </i>
    <i t="grand">
      <x/>
    </i>
  </rowItems>
  <colItems count="1">
    <i/>
  </colItems>
  <dataFields count="1">
    <dataField name="Sum of SalesAfterDiscount" fld="13" baseField="0" baseItem="0"/>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424DC34-5CA7-4EF8-BE3A-D805C31B066A}" name="PivotTable1" cacheId="4" applyNumberFormats="0" applyBorderFormats="0" applyFontFormats="0" applyPatternFormats="0" applyAlignmentFormats="0" applyWidthHeightFormats="1" dataCaption="Values" updatedVersion="8" minRefreshableVersion="3" useAutoFormatting="1" itemPrintTitles="1" createdVersion="8" indent="0" multipleFieldFilters="0" chartFormat="9">
  <location ref="A1:C7" firstHeaderRow="0" firstDataRow="1" firstDataCol="1"/>
  <pivotFields count="19">
    <pivotField showAll="0"/>
    <pivotField showAll="0"/>
    <pivotField numFmtId="14" showAll="0">
      <items count="322">
        <item x="292"/>
        <item x="110"/>
        <item x="50"/>
        <item x="309"/>
        <item x="213"/>
        <item x="32"/>
        <item x="76"/>
        <item x="302"/>
        <item x="220"/>
        <item x="1"/>
        <item x="276"/>
        <item x="267"/>
        <item x="221"/>
        <item x="179"/>
        <item x="206"/>
        <item x="316"/>
        <item x="140"/>
        <item x="7"/>
        <item x="195"/>
        <item x="248"/>
        <item x="103"/>
        <item x="37"/>
        <item x="216"/>
        <item x="164"/>
        <item x="186"/>
        <item x="84"/>
        <item x="263"/>
        <item x="125"/>
        <item x="212"/>
        <item x="222"/>
        <item x="167"/>
        <item x="301"/>
        <item x="233"/>
        <item x="95"/>
        <item x="251"/>
        <item x="314"/>
        <item x="282"/>
        <item x="87"/>
        <item x="277"/>
        <item x="185"/>
        <item x="64"/>
        <item x="39"/>
        <item x="245"/>
        <item x="202"/>
        <item x="257"/>
        <item x="13"/>
        <item x="196"/>
        <item x="157"/>
        <item x="2"/>
        <item x="180"/>
        <item x="97"/>
        <item x="21"/>
        <item x="299"/>
        <item x="47"/>
        <item x="289"/>
        <item x="295"/>
        <item x="163"/>
        <item x="144"/>
        <item x="262"/>
        <item x="127"/>
        <item x="256"/>
        <item x="90"/>
        <item x="24"/>
        <item x="172"/>
        <item x="35"/>
        <item x="27"/>
        <item x="278"/>
        <item x="243"/>
        <item x="94"/>
        <item x="40"/>
        <item x="214"/>
        <item x="81"/>
        <item x="294"/>
        <item x="228"/>
        <item x="146"/>
        <item x="131"/>
        <item x="96"/>
        <item x="139"/>
        <item x="204"/>
        <item x="145"/>
        <item x="128"/>
        <item x="237"/>
        <item x="246"/>
        <item x="272"/>
        <item x="286"/>
        <item x="269"/>
        <item x="133"/>
        <item x="151"/>
        <item x="115"/>
        <item x="229"/>
        <item x="88"/>
        <item x="55"/>
        <item x="65"/>
        <item x="205"/>
        <item x="122"/>
        <item x="53"/>
        <item x="210"/>
        <item x="102"/>
        <item x="0"/>
        <item x="238"/>
        <item x="67"/>
        <item x="129"/>
        <item x="173"/>
        <item x="118"/>
        <item x="270"/>
        <item x="261"/>
        <item x="165"/>
        <item x="225"/>
        <item x="44"/>
        <item x="234"/>
        <item x="120"/>
        <item x="285"/>
        <item x="266"/>
        <item x="105"/>
        <item x="17"/>
        <item x="190"/>
        <item x="259"/>
        <item x="49"/>
        <item x="271"/>
        <item x="283"/>
        <item x="315"/>
        <item x="176"/>
        <item x="4"/>
        <item x="310"/>
        <item x="57"/>
        <item x="137"/>
        <item x="154"/>
        <item x="75"/>
        <item x="255"/>
        <item x="66"/>
        <item x="320"/>
        <item x="6"/>
        <item x="78"/>
        <item x="177"/>
        <item x="107"/>
        <item x="260"/>
        <item x="38"/>
        <item x="20"/>
        <item x="239"/>
        <item x="14"/>
        <item x="138"/>
        <item x="300"/>
        <item x="91"/>
        <item x="77"/>
        <item x="209"/>
        <item x="223"/>
        <item x="48"/>
        <item x="73"/>
        <item x="5"/>
        <item x="51"/>
        <item x="98"/>
        <item x="168"/>
        <item x="121"/>
        <item x="22"/>
        <item x="31"/>
        <item x="226"/>
        <item x="150"/>
        <item x="254"/>
        <item x="99"/>
        <item x="230"/>
        <item x="60"/>
        <item x="293"/>
        <item x="30"/>
        <item x="100"/>
        <item x="149"/>
        <item x="311"/>
        <item x="319"/>
        <item x="28"/>
        <item x="93"/>
        <item x="153"/>
        <item x="174"/>
        <item x="54"/>
        <item x="45"/>
        <item x="106"/>
        <item x="181"/>
        <item x="235"/>
        <item x="108"/>
        <item x="290"/>
        <item x="188"/>
        <item x="141"/>
        <item x="43"/>
        <item x="227"/>
        <item x="313"/>
        <item x="23"/>
        <item x="69"/>
        <item x="26"/>
        <item x="162"/>
        <item x="80"/>
        <item x="34"/>
        <item x="201"/>
        <item x="189"/>
        <item x="308"/>
        <item x="147"/>
        <item x="284"/>
        <item x="18"/>
        <item x="264"/>
        <item x="298"/>
        <item x="218"/>
        <item x="199"/>
        <item x="306"/>
        <item x="161"/>
        <item x="265"/>
        <item x="244"/>
        <item x="231"/>
        <item x="114"/>
        <item x="36"/>
        <item x="136"/>
        <item x="236"/>
        <item x="219"/>
        <item x="142"/>
        <item x="207"/>
        <item x="79"/>
        <item x="208"/>
        <item x="25"/>
        <item x="169"/>
        <item x="126"/>
        <item x="184"/>
        <item x="156"/>
        <item x="274"/>
        <item x="119"/>
        <item x="240"/>
        <item x="83"/>
        <item x="171"/>
        <item x="305"/>
        <item x="215"/>
        <item x="200"/>
        <item x="33"/>
        <item x="132"/>
        <item x="166"/>
        <item x="242"/>
        <item x="275"/>
        <item x="68"/>
        <item x="170"/>
        <item x="111"/>
        <item x="74"/>
        <item x="58"/>
        <item x="113"/>
        <item x="296"/>
        <item x="112"/>
        <item x="268"/>
        <item x="191"/>
        <item x="297"/>
        <item x="211"/>
        <item x="62"/>
        <item x="130"/>
        <item x="116"/>
        <item x="15"/>
        <item x="11"/>
        <item x="104"/>
        <item x="61"/>
        <item x="241"/>
        <item x="273"/>
        <item x="291"/>
        <item x="56"/>
        <item x="89"/>
        <item x="158"/>
        <item x="59"/>
        <item x="71"/>
        <item x="10"/>
        <item x="123"/>
        <item x="279"/>
        <item x="143"/>
        <item x="70"/>
        <item x="281"/>
        <item x="258"/>
        <item x="42"/>
        <item x="280"/>
        <item x="41"/>
        <item x="193"/>
        <item x="249"/>
        <item x="86"/>
        <item x="46"/>
        <item x="52"/>
        <item x="135"/>
        <item x="198"/>
        <item x="12"/>
        <item x="253"/>
        <item x="92"/>
        <item x="152"/>
        <item x="16"/>
        <item x="303"/>
        <item x="109"/>
        <item x="182"/>
        <item x="159"/>
        <item x="63"/>
        <item x="247"/>
        <item x="187"/>
        <item x="312"/>
        <item x="175"/>
        <item x="101"/>
        <item x="9"/>
        <item x="217"/>
        <item x="3"/>
        <item x="232"/>
        <item x="148"/>
        <item x="124"/>
        <item x="72"/>
        <item x="318"/>
        <item x="8"/>
        <item x="117"/>
        <item x="29"/>
        <item x="134"/>
        <item x="85"/>
        <item x="287"/>
        <item x="252"/>
        <item x="155"/>
        <item x="224"/>
        <item x="178"/>
        <item x="250"/>
        <item x="19"/>
        <item x="304"/>
        <item x="160"/>
        <item x="288"/>
        <item x="194"/>
        <item x="183"/>
        <item x="307"/>
        <item x="203"/>
        <item x="197"/>
        <item x="192"/>
        <item x="82"/>
        <item x="317"/>
        <item t="default"/>
      </items>
    </pivotField>
    <pivotField showAll="0"/>
    <pivotField axis="axisRow" showAll="0">
      <items count="6">
        <item x="0"/>
        <item x="3"/>
        <item x="1"/>
        <item x="4"/>
        <item x="2"/>
        <item t="default"/>
      </items>
    </pivotField>
    <pivotField showAll="0"/>
    <pivotField showAll="0">
      <items count="3">
        <item x="1"/>
        <item x="0"/>
        <item t="default"/>
      </items>
    </pivotField>
    <pivotField showAll="0"/>
    <pivotField showAll="0"/>
    <pivotField showAll="0"/>
    <pivotField showAll="0"/>
    <pivotField showAll="0"/>
    <pivotField showAll="0"/>
    <pivotField dataField="1"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4"/>
  </rowFields>
  <rowItems count="6">
    <i>
      <x/>
    </i>
    <i>
      <x v="1"/>
    </i>
    <i>
      <x v="2"/>
    </i>
    <i>
      <x v="3"/>
    </i>
    <i>
      <x v="4"/>
    </i>
    <i t="grand">
      <x/>
    </i>
  </rowItems>
  <colFields count="1">
    <field x="-2"/>
  </colFields>
  <colItems count="2">
    <i>
      <x/>
    </i>
    <i i="1">
      <x v="1"/>
    </i>
  </colItems>
  <dataFields count="2">
    <dataField name="Sum of SalesAfterDiscount" fld="13" baseField="0" baseItem="0"/>
    <dataField name="Sum of GrossProfit" fld="15" baseField="0" baseItem="0"/>
  </dataFields>
  <formats count="3">
    <format dxfId="39">
      <pivotArea dataOnly="0" labelOnly="1" outline="0" fieldPosition="0">
        <references count="1">
          <reference field="4294967294" count="1">
            <x v="0"/>
          </reference>
        </references>
      </pivotArea>
    </format>
    <format dxfId="40">
      <pivotArea dataOnly="0" labelOnly="1" outline="0" fieldPosition="0">
        <references count="1">
          <reference field="4294967294" count="1">
            <x v="1"/>
          </reference>
        </references>
      </pivotArea>
    </format>
    <format dxfId="41">
      <pivotArea field="4" type="button" dataOnly="0" labelOnly="1" outline="0" axis="axisRow"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DD849A37-F31C-4F3D-9198-9CC4E7AB8312}" autoFormatId="16" applyNumberFormats="0" applyBorderFormats="0" applyFontFormats="0" applyPatternFormats="0" applyAlignmentFormats="0" applyWidthHeightFormats="0">
  <queryTableRefresh nextId="18" unboundColumnsRight="6">
    <queryTableFields count="17">
      <queryTableField id="1" name="OrderID" tableColumnId="1"/>
      <queryTableField id="2" name="LineID" tableColumnId="2"/>
      <queryTableField id="3" name="Date" tableColumnId="3"/>
      <queryTableField id="4" name="ProductID" tableColumnId="4"/>
      <queryTableField id="5" name="StoreID" tableColumnId="5"/>
      <queryTableField id="6" name="CustomerID" tableColumnId="6"/>
      <queryTableField id="7" name="SalesChannel" tableColumnId="7"/>
      <queryTableField id="8" name="Quantity" tableColumnId="8"/>
      <queryTableField id="9" name="UnitPrice" tableColumnId="9"/>
      <queryTableField id="10" name="DiscountRate" tableColumnId="10"/>
      <queryTableField id="11" name="UnitCostAtSale" tableColumnId="11"/>
      <queryTableField id="12" dataBound="0" tableColumnId="12"/>
      <queryTableField id="13" dataBound="0" tableColumnId="13"/>
      <queryTableField id="14" dataBound="0" tableColumnId="14"/>
      <queryTableField id="15" dataBound="0" tableColumnId="15"/>
      <queryTableField id="16" dataBound="0" tableColumnId="16"/>
      <queryTableField id="17" dataBound="0" tableColumnId="1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ID" xr10:uid="{E36DC5DC-08EF-45A5-9E87-E4B6A8BE4FF4}" sourceName="StoreID">
  <pivotTables>
    <pivotTable tabId="4" name="PivotTable1"/>
    <pivotTable tabId="6" name="PivotTable2"/>
    <pivotTable tabId="8" name="PivotTable2"/>
    <pivotTable tabId="7" name="PivotTable1"/>
  </pivotTables>
  <data>
    <tabular pivotCacheId="1306816253">
      <items count="5">
        <i x="0" s="1"/>
        <i x="3" s="1"/>
        <i x="1"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Channel" xr10:uid="{502FFAB5-6CA9-4323-AEE3-4D6BE0AE2E62}" sourceName="SalesChannel">
  <pivotTables>
    <pivotTable tabId="4" name="PivotTable1"/>
    <pivotTable tabId="6" name="PivotTable2"/>
    <pivotTable tabId="8" name="PivotTable2"/>
    <pivotTable tabId="7" name="PivotTable1"/>
  </pivotTables>
  <data>
    <tabular pivotCacheId="1306816253">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ID" xr10:uid="{B53A2F51-BFA5-4FAB-8A8C-8249779F3D34}" cache="Slicer_StoreID" caption="StoreID" columnCount="5" style="SlicerStyleOther2" rowHeight="320040"/>
  <slicer name="SalesChannel" xr10:uid="{85EC1A0A-9416-4258-9806-A13FC9D0367A}" cache="Slicer_SalesChannel" caption="SalesChannel" columnCount="2" style="SlicerStyleOther2" rowHeight="32004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DA8362D-E429-45B4-89D0-45CC87CD71D9}" name="sales" displayName="sales" ref="A1:Q501" tableType="queryTable" totalsRowShown="0">
  <autoFilter ref="A1:Q501" xr:uid="{1DA8362D-E429-45B4-89D0-45CC87CD71D9}"/>
  <tableColumns count="17">
    <tableColumn id="1" xr3:uid="{56D8A25A-DBED-4BCD-A623-898A46481927}" uniqueName="1" name="OrderID" queryTableFieldId="1" dataDxfId="54"/>
    <tableColumn id="2" xr3:uid="{6E2A5EBC-A63D-4121-B5FB-803BDD06D63A}" uniqueName="2" name="LineID" queryTableFieldId="2" dataDxfId="53"/>
    <tableColumn id="3" xr3:uid="{EF3573A2-B3AE-4D91-911B-574EE8BC7624}" uniqueName="3" name="Date" queryTableFieldId="3" dataDxfId="52"/>
    <tableColumn id="4" xr3:uid="{11AC5243-14B7-4A35-B9B2-1665859BA500}" uniqueName="4" name="ProductID" queryTableFieldId="4" dataDxfId="51"/>
    <tableColumn id="5" xr3:uid="{0E27DE63-90A7-49BC-A53A-8C102D6575E5}" uniqueName="5" name="StoreID" queryTableFieldId="5" dataDxfId="50"/>
    <tableColumn id="6" xr3:uid="{F70E5803-CDE6-4E04-B0AC-E66A70250924}" uniqueName="6" name="CustomerID" queryTableFieldId="6" dataDxfId="49"/>
    <tableColumn id="7" xr3:uid="{532F1CDF-B2EF-44D9-B43C-76A3BAE9BC36}" uniqueName="7" name="SalesChannel" queryTableFieldId="7" dataDxfId="48"/>
    <tableColumn id="8" xr3:uid="{DF219115-7DAF-4F57-831E-B5FC668606CD}" uniqueName="8" name="Quantity" queryTableFieldId="8"/>
    <tableColumn id="9" xr3:uid="{CEA1D55C-0980-461E-B369-A394D9503A1E}" uniqueName="9" name="UnitPrice" queryTableFieldId="9"/>
    <tableColumn id="10" xr3:uid="{25718208-6D79-4A83-B086-6F49176BB353}" uniqueName="10" name="DiscountRate" queryTableFieldId="10"/>
    <tableColumn id="11" xr3:uid="{1D9126AB-F469-48F9-9125-E66C12F7D903}" uniqueName="11" name="UnitCostAtSale" queryTableFieldId="11"/>
    <tableColumn id="12" xr3:uid="{5951FEE0-FB50-4863-A6CA-C10DA7CE77EF}" uniqueName="12" name="GrossSales" queryTableFieldId="12" dataDxfId="47">
      <calculatedColumnFormula>sales[[#This Row],[Quantity]]*sales[[#This Row],[UnitPrice]]</calculatedColumnFormula>
    </tableColumn>
    <tableColumn id="13" xr3:uid="{C65959FB-7C16-4C80-A22A-7E1C8CBCE117}" uniqueName="13" name="DiscountAmount" queryTableFieldId="13" dataDxfId="46">
      <calculatedColumnFormula>sales[[#This Row],[GrossSales]]*sales[[#This Row],[DiscountRate]]</calculatedColumnFormula>
    </tableColumn>
    <tableColumn id="14" xr3:uid="{EDA06F4B-2D4B-4700-BB3A-E836A39D7CB8}" uniqueName="14" name="SalesAfterDiscount" queryTableFieldId="14" dataDxfId="45">
      <calculatedColumnFormula>sales[[#This Row],[GrossSales]]-sales[[#This Row],[DiscountAmount]]</calculatedColumnFormula>
    </tableColumn>
    <tableColumn id="15" xr3:uid="{8479A0C3-CBFC-4C03-A7DD-F02AD557F8DB}" uniqueName="15" name="CostOfGoodsSold" queryTableFieldId="15" dataDxfId="44">
      <calculatedColumnFormula>sales[[#This Row],[Quantity]]*sales[[#This Row],[UnitCostAtSale]]</calculatedColumnFormula>
    </tableColumn>
    <tableColumn id="16" xr3:uid="{F12E6300-FAA3-41A7-940B-9AA15A25AB45}" uniqueName="16" name="GrossProfit" queryTableFieldId="16" dataDxfId="43">
      <calculatedColumnFormula>sales[[#This Row],[SalesAfterDiscount]]-sales[[#This Row],[CostOfGoodsSold]]</calculatedColumnFormula>
    </tableColumn>
    <tableColumn id="17" xr3:uid="{964840F7-7CD2-4093-85DA-9160DCAEBFE9}" uniqueName="17" name="GrossProfitMargin" queryTableFieldId="17" dataDxfId="42">
      <calculatedColumnFormula>IFERROR(sales[[#This Row],[GrossProfit]]/sales[[#This Row],[SalesAfterDiscount]],0)</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C0F27D-C133-4250-BEA5-F61CD8564256}">
  <dimension ref="A1:Q501"/>
  <sheetViews>
    <sheetView workbookViewId="0">
      <selection activeCell="A2" sqref="A2"/>
    </sheetView>
  </sheetViews>
  <sheetFormatPr defaultRowHeight="14.4"/>
  <cols>
    <col min="1" max="1" width="9.77734375" bestFit="1" customWidth="1"/>
    <col min="2" max="2" width="8.44140625" bestFit="1" customWidth="1"/>
    <col min="3" max="3" width="10.33203125" bestFit="1" customWidth="1"/>
    <col min="4" max="4" width="11.5546875" bestFit="1" customWidth="1"/>
    <col min="5" max="5" width="9.44140625" bestFit="1" customWidth="1"/>
    <col min="6" max="6" width="13.109375" bestFit="1" customWidth="1"/>
    <col min="7" max="7" width="14.5546875" bestFit="1" customWidth="1"/>
    <col min="8" max="8" width="10.33203125" bestFit="1" customWidth="1"/>
    <col min="9" max="9" width="11" bestFit="1" customWidth="1"/>
    <col min="10" max="10" width="14.33203125" bestFit="1" customWidth="1"/>
    <col min="11" max="11" width="16" bestFit="1" customWidth="1"/>
    <col min="12" max="12" width="14.77734375" customWidth="1"/>
    <col min="13" max="13" width="16.6640625" customWidth="1"/>
    <col min="14" max="14" width="19.88671875" customWidth="1"/>
    <col min="15" max="15" width="17.88671875" customWidth="1"/>
    <col min="16" max="16" width="24.77734375" customWidth="1"/>
    <col min="17" max="17" width="20.21875" customWidth="1"/>
    <col min="18" max="18" width="12.44140625" bestFit="1" customWidth="1"/>
    <col min="19" max="19" width="23.21875" bestFit="1" customWidth="1"/>
    <col min="20" max="20" width="16.44140625" bestFit="1" customWidth="1"/>
  </cols>
  <sheetData>
    <row r="1" spans="1:17">
      <c r="A1" t="s">
        <v>0</v>
      </c>
      <c r="B1" t="s">
        <v>1</v>
      </c>
      <c r="C1" t="s">
        <v>2</v>
      </c>
      <c r="D1" t="s">
        <v>3</v>
      </c>
      <c r="E1" t="s">
        <v>4</v>
      </c>
      <c r="F1" t="s">
        <v>5</v>
      </c>
      <c r="G1" t="s">
        <v>6</v>
      </c>
      <c r="H1" t="s">
        <v>7</v>
      </c>
      <c r="I1" t="s">
        <v>8</v>
      </c>
      <c r="J1" t="s">
        <v>9</v>
      </c>
      <c r="K1" t="s">
        <v>10</v>
      </c>
      <c r="L1" t="s">
        <v>1146</v>
      </c>
      <c r="M1" t="s">
        <v>1147</v>
      </c>
      <c r="N1" t="s">
        <v>1148</v>
      </c>
      <c r="O1" t="s">
        <v>1149</v>
      </c>
      <c r="P1" t="s">
        <v>1150</v>
      </c>
      <c r="Q1" t="s">
        <v>1151</v>
      </c>
    </row>
    <row r="2" spans="1:17">
      <c r="A2" t="s">
        <v>11</v>
      </c>
      <c r="B2" t="s">
        <v>12</v>
      </c>
      <c r="C2" s="1">
        <v>45823</v>
      </c>
      <c r="D2" t="s">
        <v>13</v>
      </c>
      <c r="E2" t="s">
        <v>14</v>
      </c>
      <c r="F2" t="s">
        <v>15</v>
      </c>
      <c r="G2" t="s">
        <v>16</v>
      </c>
      <c r="H2">
        <v>5</v>
      </c>
      <c r="I2">
        <v>6484.94</v>
      </c>
      <c r="J2">
        <v>0.2</v>
      </c>
      <c r="K2">
        <v>4300</v>
      </c>
      <c r="L2">
        <f>sales[[#This Row],[Quantity]]*sales[[#This Row],[UnitPrice]]</f>
        <v>32424.699999999997</v>
      </c>
      <c r="M2">
        <f>sales[[#This Row],[GrossSales]]*sales[[#This Row],[DiscountRate]]</f>
        <v>6484.94</v>
      </c>
      <c r="N2">
        <f>sales[[#This Row],[GrossSales]]-sales[[#This Row],[DiscountAmount]]</f>
        <v>25939.759999999998</v>
      </c>
      <c r="O2">
        <f>sales[[#This Row],[Quantity]]*sales[[#This Row],[UnitCostAtSale]]</f>
        <v>21500</v>
      </c>
      <c r="P2">
        <f>sales[[#This Row],[SalesAfterDiscount]]-sales[[#This Row],[CostOfGoodsSold]]</f>
        <v>4439.7599999999984</v>
      </c>
      <c r="Q2">
        <f>IFERROR(sales[[#This Row],[GrossProfit]]/sales[[#This Row],[SalesAfterDiscount]],0)</f>
        <v>0.17115655657569687</v>
      </c>
    </row>
    <row r="3" spans="1:17">
      <c r="A3" t="s">
        <v>17</v>
      </c>
      <c r="B3" t="s">
        <v>18</v>
      </c>
      <c r="C3" s="1">
        <v>45677</v>
      </c>
      <c r="D3" t="s">
        <v>19</v>
      </c>
      <c r="E3" t="s">
        <v>20</v>
      </c>
      <c r="F3" t="s">
        <v>21</v>
      </c>
      <c r="G3" t="s">
        <v>22</v>
      </c>
      <c r="H3">
        <v>1</v>
      </c>
      <c r="I3">
        <v>12193.29</v>
      </c>
      <c r="J3">
        <v>0.1</v>
      </c>
      <c r="K3">
        <v>9950</v>
      </c>
      <c r="L3">
        <f>sales[[#This Row],[Quantity]]*sales[[#This Row],[UnitPrice]]</f>
        <v>12193.29</v>
      </c>
      <c r="M3">
        <f>sales[[#This Row],[GrossSales]]*sales[[#This Row],[DiscountRate]]</f>
        <v>1219.3290000000002</v>
      </c>
      <c r="N3">
        <f>sales[[#This Row],[GrossSales]]-sales[[#This Row],[DiscountAmount]]</f>
        <v>10973.961000000001</v>
      </c>
      <c r="O3">
        <f>sales[[#This Row],[Quantity]]*sales[[#This Row],[UnitCostAtSale]]</f>
        <v>9950</v>
      </c>
      <c r="P3">
        <f>sales[[#This Row],[SalesAfterDiscount]]-sales[[#This Row],[CostOfGoodsSold]]</f>
        <v>1023.9610000000011</v>
      </c>
      <c r="Q3">
        <f>IFERROR(sales[[#This Row],[GrossProfit]]/sales[[#This Row],[SalesAfterDiscount]],0)</f>
        <v>9.3308241208438877E-2</v>
      </c>
    </row>
    <row r="4" spans="1:17">
      <c r="A4" t="s">
        <v>23</v>
      </c>
      <c r="B4" t="s">
        <v>24</v>
      </c>
      <c r="C4" s="1">
        <v>45738</v>
      </c>
      <c r="D4" t="s">
        <v>25</v>
      </c>
      <c r="E4" t="s">
        <v>14</v>
      </c>
      <c r="F4" t="s">
        <v>26</v>
      </c>
      <c r="G4" t="s">
        <v>22</v>
      </c>
      <c r="H4">
        <v>1</v>
      </c>
      <c r="I4">
        <v>18592.419999999998</v>
      </c>
      <c r="J4">
        <v>0.15</v>
      </c>
      <c r="K4">
        <v>14600</v>
      </c>
      <c r="L4">
        <f>sales[[#This Row],[Quantity]]*sales[[#This Row],[UnitPrice]]</f>
        <v>18592.419999999998</v>
      </c>
      <c r="M4">
        <f>sales[[#This Row],[GrossSales]]*sales[[#This Row],[DiscountRate]]</f>
        <v>2788.8629999999998</v>
      </c>
      <c r="N4">
        <f>sales[[#This Row],[GrossSales]]-sales[[#This Row],[DiscountAmount]]</f>
        <v>15803.556999999999</v>
      </c>
      <c r="O4">
        <f>sales[[#This Row],[Quantity]]*sales[[#This Row],[UnitCostAtSale]]</f>
        <v>14600</v>
      </c>
      <c r="P4">
        <f>sales[[#This Row],[SalesAfterDiscount]]-sales[[#This Row],[CostOfGoodsSold]]</f>
        <v>1203.5569999999989</v>
      </c>
      <c r="Q4">
        <f>IFERROR(sales[[#This Row],[GrossProfit]]/sales[[#This Row],[SalesAfterDiscount]],0)</f>
        <v>7.6157348627274163E-2</v>
      </c>
    </row>
    <row r="5" spans="1:17">
      <c r="A5" t="s">
        <v>27</v>
      </c>
      <c r="B5" t="s">
        <v>28</v>
      </c>
      <c r="C5" s="1">
        <v>46144</v>
      </c>
      <c r="D5" t="s">
        <v>29</v>
      </c>
      <c r="E5" t="s">
        <v>20</v>
      </c>
      <c r="F5" t="s">
        <v>30</v>
      </c>
      <c r="G5" t="s">
        <v>16</v>
      </c>
      <c r="H5">
        <v>5</v>
      </c>
      <c r="I5">
        <v>13204.06</v>
      </c>
      <c r="J5">
        <v>0.05</v>
      </c>
      <c r="K5">
        <v>11050</v>
      </c>
      <c r="L5">
        <f>sales[[#This Row],[Quantity]]*sales[[#This Row],[UnitPrice]]</f>
        <v>66020.3</v>
      </c>
      <c r="M5">
        <f>sales[[#This Row],[GrossSales]]*sales[[#This Row],[DiscountRate]]</f>
        <v>3301.0150000000003</v>
      </c>
      <c r="N5">
        <f>sales[[#This Row],[GrossSales]]-sales[[#This Row],[DiscountAmount]]</f>
        <v>62719.285000000003</v>
      </c>
      <c r="O5">
        <f>sales[[#This Row],[Quantity]]*sales[[#This Row],[UnitCostAtSale]]</f>
        <v>55250</v>
      </c>
      <c r="P5">
        <f>sales[[#This Row],[SalesAfterDiscount]]-sales[[#This Row],[CostOfGoodsSold]]</f>
        <v>7469.2850000000035</v>
      </c>
      <c r="Q5">
        <f>IFERROR(sales[[#This Row],[GrossProfit]]/sales[[#This Row],[SalesAfterDiscount]],0)</f>
        <v>0.11909072305272618</v>
      </c>
    </row>
    <row r="6" spans="1:17">
      <c r="A6" t="s">
        <v>31</v>
      </c>
      <c r="B6" t="s">
        <v>32</v>
      </c>
      <c r="C6" s="1">
        <v>45863</v>
      </c>
      <c r="D6" t="s">
        <v>33</v>
      </c>
      <c r="E6" t="s">
        <v>20</v>
      </c>
      <c r="F6" t="s">
        <v>34</v>
      </c>
      <c r="G6" t="s">
        <v>16</v>
      </c>
      <c r="H6">
        <v>3</v>
      </c>
      <c r="I6">
        <v>19237.78</v>
      </c>
      <c r="J6">
        <v>0.15</v>
      </c>
      <c r="K6">
        <v>13150</v>
      </c>
      <c r="L6">
        <f>sales[[#This Row],[Quantity]]*sales[[#This Row],[UnitPrice]]</f>
        <v>57713.34</v>
      </c>
      <c r="M6">
        <f>sales[[#This Row],[GrossSales]]*sales[[#This Row],[DiscountRate]]</f>
        <v>8657.0009999999984</v>
      </c>
      <c r="N6">
        <f>sales[[#This Row],[GrossSales]]-sales[[#This Row],[DiscountAmount]]</f>
        <v>49056.339</v>
      </c>
      <c r="O6">
        <f>sales[[#This Row],[Quantity]]*sales[[#This Row],[UnitCostAtSale]]</f>
        <v>39450</v>
      </c>
      <c r="P6">
        <f>sales[[#This Row],[SalesAfterDiscount]]-sales[[#This Row],[CostOfGoodsSold]]</f>
        <v>9606.3389999999999</v>
      </c>
      <c r="Q6">
        <f>IFERROR(sales[[#This Row],[GrossProfit]]/sales[[#This Row],[SalesAfterDiscount]],0)</f>
        <v>0.1958225826839626</v>
      </c>
    </row>
    <row r="7" spans="1:17">
      <c r="A7" t="s">
        <v>35</v>
      </c>
      <c r="B7" t="s">
        <v>36</v>
      </c>
      <c r="C7" s="1">
        <v>45911</v>
      </c>
      <c r="D7" t="s">
        <v>37</v>
      </c>
      <c r="E7" t="s">
        <v>20</v>
      </c>
      <c r="F7" t="s">
        <v>38</v>
      </c>
      <c r="G7" t="s">
        <v>22</v>
      </c>
      <c r="H7">
        <v>2</v>
      </c>
      <c r="I7">
        <v>17336.23</v>
      </c>
      <c r="J7">
        <v>0</v>
      </c>
      <c r="K7">
        <v>14200</v>
      </c>
      <c r="L7">
        <f>sales[[#This Row],[Quantity]]*sales[[#This Row],[UnitPrice]]</f>
        <v>34672.46</v>
      </c>
      <c r="M7">
        <f>sales[[#This Row],[GrossSales]]*sales[[#This Row],[DiscountRate]]</f>
        <v>0</v>
      </c>
      <c r="N7">
        <f>sales[[#This Row],[GrossSales]]-sales[[#This Row],[DiscountAmount]]</f>
        <v>34672.46</v>
      </c>
      <c r="O7">
        <f>sales[[#This Row],[Quantity]]*sales[[#This Row],[UnitCostAtSale]]</f>
        <v>28400</v>
      </c>
      <c r="P7">
        <f>sales[[#This Row],[SalesAfterDiscount]]-sales[[#This Row],[CostOfGoodsSold]]</f>
        <v>6272.4599999999991</v>
      </c>
      <c r="Q7">
        <f>IFERROR(sales[[#This Row],[GrossProfit]]/sales[[#This Row],[SalesAfterDiscount]],0)</f>
        <v>0.18090611395903258</v>
      </c>
    </row>
    <row r="8" spans="1:17">
      <c r="A8" t="s">
        <v>39</v>
      </c>
      <c r="B8" t="s">
        <v>40</v>
      </c>
      <c r="C8" s="1">
        <v>45883</v>
      </c>
      <c r="D8" t="s">
        <v>41</v>
      </c>
      <c r="E8" t="s">
        <v>14</v>
      </c>
      <c r="F8" t="s">
        <v>42</v>
      </c>
      <c r="G8" t="s">
        <v>22</v>
      </c>
      <c r="H8">
        <v>1</v>
      </c>
      <c r="I8">
        <v>17279.419999999998</v>
      </c>
      <c r="J8">
        <v>0</v>
      </c>
      <c r="K8">
        <v>13950</v>
      </c>
      <c r="L8">
        <f>sales[[#This Row],[Quantity]]*sales[[#This Row],[UnitPrice]]</f>
        <v>17279.419999999998</v>
      </c>
      <c r="M8">
        <f>sales[[#This Row],[GrossSales]]*sales[[#This Row],[DiscountRate]]</f>
        <v>0</v>
      </c>
      <c r="N8">
        <f>sales[[#This Row],[GrossSales]]-sales[[#This Row],[DiscountAmount]]</f>
        <v>17279.419999999998</v>
      </c>
      <c r="O8">
        <f>sales[[#This Row],[Quantity]]*sales[[#This Row],[UnitCostAtSale]]</f>
        <v>13950</v>
      </c>
      <c r="P8">
        <f>sales[[#This Row],[SalesAfterDiscount]]-sales[[#This Row],[CostOfGoodsSold]]</f>
        <v>3329.4199999999983</v>
      </c>
      <c r="Q8">
        <f>IFERROR(sales[[#This Row],[GrossProfit]]/sales[[#This Row],[SalesAfterDiscount]],0)</f>
        <v>0.19268123582851732</v>
      </c>
    </row>
    <row r="9" spans="1:17">
      <c r="A9" t="s">
        <v>43</v>
      </c>
      <c r="B9" t="s">
        <v>44</v>
      </c>
      <c r="C9" s="1">
        <v>45690</v>
      </c>
      <c r="D9" t="s">
        <v>45</v>
      </c>
      <c r="E9" t="s">
        <v>46</v>
      </c>
      <c r="F9" t="s">
        <v>21</v>
      </c>
      <c r="G9" t="s">
        <v>16</v>
      </c>
      <c r="H9">
        <v>3</v>
      </c>
      <c r="I9">
        <v>11889.76</v>
      </c>
      <c r="J9">
        <v>0</v>
      </c>
      <c r="K9">
        <v>9300</v>
      </c>
      <c r="L9">
        <f>sales[[#This Row],[Quantity]]*sales[[#This Row],[UnitPrice]]</f>
        <v>35669.279999999999</v>
      </c>
      <c r="M9">
        <f>sales[[#This Row],[GrossSales]]*sales[[#This Row],[DiscountRate]]</f>
        <v>0</v>
      </c>
      <c r="N9">
        <f>sales[[#This Row],[GrossSales]]-sales[[#This Row],[DiscountAmount]]</f>
        <v>35669.279999999999</v>
      </c>
      <c r="O9">
        <f>sales[[#This Row],[Quantity]]*sales[[#This Row],[UnitCostAtSale]]</f>
        <v>27900</v>
      </c>
      <c r="P9">
        <f>sales[[#This Row],[SalesAfterDiscount]]-sales[[#This Row],[CostOfGoodsSold]]</f>
        <v>7769.2799999999988</v>
      </c>
      <c r="Q9">
        <f>IFERROR(sales[[#This Row],[GrossProfit]]/sales[[#This Row],[SalesAfterDiscount]],0)</f>
        <v>0.21781432089461852</v>
      </c>
    </row>
    <row r="10" spans="1:17">
      <c r="A10" t="s">
        <v>47</v>
      </c>
      <c r="B10" t="s">
        <v>48</v>
      </c>
      <c r="C10" s="1">
        <v>46155</v>
      </c>
      <c r="D10" t="s">
        <v>49</v>
      </c>
      <c r="E10" t="s">
        <v>50</v>
      </c>
      <c r="F10" t="s">
        <v>51</v>
      </c>
      <c r="G10" t="s">
        <v>16</v>
      </c>
      <c r="H10">
        <v>2</v>
      </c>
      <c r="I10">
        <v>13787.88</v>
      </c>
      <c r="J10">
        <v>0.2</v>
      </c>
      <c r="K10">
        <v>9500</v>
      </c>
      <c r="L10">
        <f>sales[[#This Row],[Quantity]]*sales[[#This Row],[UnitPrice]]</f>
        <v>27575.759999999998</v>
      </c>
      <c r="M10">
        <f>sales[[#This Row],[GrossSales]]*sales[[#This Row],[DiscountRate]]</f>
        <v>5515.152</v>
      </c>
      <c r="N10">
        <f>sales[[#This Row],[GrossSales]]-sales[[#This Row],[DiscountAmount]]</f>
        <v>22060.608</v>
      </c>
      <c r="O10">
        <f>sales[[#This Row],[Quantity]]*sales[[#This Row],[UnitCostAtSale]]</f>
        <v>19000</v>
      </c>
      <c r="P10">
        <f>sales[[#This Row],[SalesAfterDiscount]]-sales[[#This Row],[CostOfGoodsSold]]</f>
        <v>3060.6080000000002</v>
      </c>
      <c r="Q10">
        <f>IFERROR(sales[[#This Row],[GrossProfit]]/sales[[#This Row],[SalesAfterDiscount]],0)</f>
        <v>0.13873633945175037</v>
      </c>
    </row>
    <row r="11" spans="1:17">
      <c r="A11" t="s">
        <v>52</v>
      </c>
      <c r="B11" t="s">
        <v>53</v>
      </c>
      <c r="C11" s="1">
        <v>46142</v>
      </c>
      <c r="D11" t="s">
        <v>25</v>
      </c>
      <c r="E11" t="s">
        <v>14</v>
      </c>
      <c r="F11" t="s">
        <v>54</v>
      </c>
      <c r="G11" t="s">
        <v>16</v>
      </c>
      <c r="H11">
        <v>4</v>
      </c>
      <c r="I11">
        <v>18592.419999999998</v>
      </c>
      <c r="J11">
        <v>0.05</v>
      </c>
      <c r="K11">
        <v>14600</v>
      </c>
      <c r="L11">
        <f>sales[[#This Row],[Quantity]]*sales[[#This Row],[UnitPrice]]</f>
        <v>74369.679999999993</v>
      </c>
      <c r="M11">
        <f>sales[[#This Row],[GrossSales]]*sales[[#This Row],[DiscountRate]]</f>
        <v>3718.4839999999999</v>
      </c>
      <c r="N11">
        <f>sales[[#This Row],[GrossSales]]-sales[[#This Row],[DiscountAmount]]</f>
        <v>70651.195999999996</v>
      </c>
      <c r="O11">
        <f>sales[[#This Row],[Quantity]]*sales[[#This Row],[UnitCostAtSale]]</f>
        <v>58400</v>
      </c>
      <c r="P11">
        <f>sales[[#This Row],[SalesAfterDiscount]]-sales[[#This Row],[CostOfGoodsSold]]</f>
        <v>12251.195999999996</v>
      </c>
      <c r="Q11">
        <f>IFERROR(sales[[#This Row],[GrossProfit]]/sales[[#This Row],[SalesAfterDiscount]],0)</f>
        <v>0.17340394350861374</v>
      </c>
    </row>
    <row r="12" spans="1:17">
      <c r="A12" t="s">
        <v>55</v>
      </c>
      <c r="B12" t="s">
        <v>56</v>
      </c>
      <c r="C12" s="1">
        <v>46091</v>
      </c>
      <c r="D12" t="s">
        <v>13</v>
      </c>
      <c r="E12" t="s">
        <v>14</v>
      </c>
      <c r="F12" t="s">
        <v>57</v>
      </c>
      <c r="G12" t="s">
        <v>22</v>
      </c>
      <c r="H12">
        <v>4</v>
      </c>
      <c r="I12">
        <v>6484.94</v>
      </c>
      <c r="J12">
        <v>0.15</v>
      </c>
      <c r="K12">
        <v>4300</v>
      </c>
      <c r="L12">
        <f>sales[[#This Row],[Quantity]]*sales[[#This Row],[UnitPrice]]</f>
        <v>25939.759999999998</v>
      </c>
      <c r="M12">
        <f>sales[[#This Row],[GrossSales]]*sales[[#This Row],[DiscountRate]]</f>
        <v>3890.9639999999995</v>
      </c>
      <c r="N12">
        <f>sales[[#This Row],[GrossSales]]-sales[[#This Row],[DiscountAmount]]</f>
        <v>22048.795999999998</v>
      </c>
      <c r="O12">
        <f>sales[[#This Row],[Quantity]]*sales[[#This Row],[UnitCostAtSale]]</f>
        <v>17200</v>
      </c>
      <c r="P12">
        <f>sales[[#This Row],[SalesAfterDiscount]]-sales[[#This Row],[CostOfGoodsSold]]</f>
        <v>4848.7959999999985</v>
      </c>
      <c r="Q12">
        <f>IFERROR(sales[[#This Row],[GrossProfit]]/sales[[#This Row],[SalesAfterDiscount]],0)</f>
        <v>0.21991205324771471</v>
      </c>
    </row>
    <row r="13" spans="1:17">
      <c r="A13" t="s">
        <v>58</v>
      </c>
      <c r="B13" t="s">
        <v>59</v>
      </c>
      <c r="C13" s="1">
        <v>46070</v>
      </c>
      <c r="D13" t="s">
        <v>60</v>
      </c>
      <c r="E13" t="s">
        <v>50</v>
      </c>
      <c r="F13" t="s">
        <v>61</v>
      </c>
      <c r="G13" t="s">
        <v>22</v>
      </c>
      <c r="H13">
        <v>3</v>
      </c>
      <c r="I13">
        <v>9389.4699999999993</v>
      </c>
      <c r="J13">
        <v>0</v>
      </c>
      <c r="K13">
        <v>7250</v>
      </c>
      <c r="L13">
        <f>sales[[#This Row],[Quantity]]*sales[[#This Row],[UnitPrice]]</f>
        <v>28168.409999999996</v>
      </c>
      <c r="M13">
        <f>sales[[#This Row],[GrossSales]]*sales[[#This Row],[DiscountRate]]</f>
        <v>0</v>
      </c>
      <c r="N13">
        <f>sales[[#This Row],[GrossSales]]-sales[[#This Row],[DiscountAmount]]</f>
        <v>28168.409999999996</v>
      </c>
      <c r="O13">
        <f>sales[[#This Row],[Quantity]]*sales[[#This Row],[UnitCostAtSale]]</f>
        <v>21750</v>
      </c>
      <c r="P13">
        <f>sales[[#This Row],[SalesAfterDiscount]]-sales[[#This Row],[CostOfGoodsSold]]</f>
        <v>6418.4099999999962</v>
      </c>
      <c r="Q13">
        <f>IFERROR(sales[[#This Row],[GrossProfit]]/sales[[#This Row],[SalesAfterDiscount]],0)</f>
        <v>0.22785844142427625</v>
      </c>
    </row>
    <row r="14" spans="1:17">
      <c r="A14" t="s">
        <v>62</v>
      </c>
      <c r="B14" t="s">
        <v>63</v>
      </c>
      <c r="C14" s="1">
        <v>46117</v>
      </c>
      <c r="D14" t="s">
        <v>64</v>
      </c>
      <c r="E14" t="s">
        <v>50</v>
      </c>
      <c r="F14" t="s">
        <v>65</v>
      </c>
      <c r="G14" t="s">
        <v>16</v>
      </c>
      <c r="H14">
        <v>2</v>
      </c>
      <c r="I14">
        <v>2056.0100000000002</v>
      </c>
      <c r="J14">
        <v>0.15</v>
      </c>
      <c r="K14">
        <v>1350</v>
      </c>
      <c r="L14">
        <f>sales[[#This Row],[Quantity]]*sales[[#This Row],[UnitPrice]]</f>
        <v>4112.0200000000004</v>
      </c>
      <c r="M14">
        <f>sales[[#This Row],[GrossSales]]*sales[[#This Row],[DiscountRate]]</f>
        <v>616.803</v>
      </c>
      <c r="N14">
        <f>sales[[#This Row],[GrossSales]]-sales[[#This Row],[DiscountAmount]]</f>
        <v>3495.2170000000006</v>
      </c>
      <c r="O14">
        <f>sales[[#This Row],[Quantity]]*sales[[#This Row],[UnitCostAtSale]]</f>
        <v>2700</v>
      </c>
      <c r="P14">
        <f>sales[[#This Row],[SalesAfterDiscount]]-sales[[#This Row],[CostOfGoodsSold]]</f>
        <v>795.21700000000055</v>
      </c>
      <c r="Q14">
        <f>IFERROR(sales[[#This Row],[GrossProfit]]/sales[[#This Row],[SalesAfterDiscount]],0)</f>
        <v>0.22751577369874329</v>
      </c>
    </row>
    <row r="15" spans="1:17">
      <c r="A15" t="s">
        <v>66</v>
      </c>
      <c r="B15" t="s">
        <v>67</v>
      </c>
      <c r="C15" s="1">
        <v>45735</v>
      </c>
      <c r="D15" t="s">
        <v>25</v>
      </c>
      <c r="E15" t="s">
        <v>14</v>
      </c>
      <c r="F15" t="s">
        <v>68</v>
      </c>
      <c r="G15" t="s">
        <v>22</v>
      </c>
      <c r="H15">
        <v>4</v>
      </c>
      <c r="I15">
        <v>18592.419999999998</v>
      </c>
      <c r="J15">
        <v>0.2</v>
      </c>
      <c r="K15">
        <v>14600</v>
      </c>
      <c r="L15">
        <f>sales[[#This Row],[Quantity]]*sales[[#This Row],[UnitPrice]]</f>
        <v>74369.679999999993</v>
      </c>
      <c r="M15">
        <f>sales[[#This Row],[GrossSales]]*sales[[#This Row],[DiscountRate]]</f>
        <v>14873.936</v>
      </c>
      <c r="N15">
        <f>sales[[#This Row],[GrossSales]]-sales[[#This Row],[DiscountAmount]]</f>
        <v>59495.743999999992</v>
      </c>
      <c r="O15">
        <f>sales[[#This Row],[Quantity]]*sales[[#This Row],[UnitCostAtSale]]</f>
        <v>58400</v>
      </c>
      <c r="P15">
        <f>sales[[#This Row],[SalesAfterDiscount]]-sales[[#This Row],[CostOfGoodsSold]]</f>
        <v>1095.7439999999915</v>
      </c>
      <c r="Q15">
        <f>IFERROR(sales[[#This Row],[GrossProfit]]/sales[[#This Row],[SalesAfterDiscount]],0)</f>
        <v>1.8417182916478727E-2</v>
      </c>
    </row>
    <row r="16" spans="1:17">
      <c r="A16" t="s">
        <v>69</v>
      </c>
      <c r="B16" t="s">
        <v>70</v>
      </c>
      <c r="C16" s="1">
        <v>45900</v>
      </c>
      <c r="D16" t="s">
        <v>71</v>
      </c>
      <c r="E16" t="s">
        <v>72</v>
      </c>
      <c r="F16" t="s">
        <v>73</v>
      </c>
      <c r="G16" t="s">
        <v>22</v>
      </c>
      <c r="H16">
        <v>2</v>
      </c>
      <c r="I16">
        <v>5799.34</v>
      </c>
      <c r="J16">
        <v>0.15</v>
      </c>
      <c r="K16">
        <v>3800</v>
      </c>
      <c r="L16">
        <f>sales[[#This Row],[Quantity]]*sales[[#This Row],[UnitPrice]]</f>
        <v>11598.68</v>
      </c>
      <c r="M16">
        <f>sales[[#This Row],[GrossSales]]*sales[[#This Row],[DiscountRate]]</f>
        <v>1739.8019999999999</v>
      </c>
      <c r="N16">
        <f>sales[[#This Row],[GrossSales]]-sales[[#This Row],[DiscountAmount]]</f>
        <v>9858.8780000000006</v>
      </c>
      <c r="O16">
        <f>sales[[#This Row],[Quantity]]*sales[[#This Row],[UnitCostAtSale]]</f>
        <v>7600</v>
      </c>
      <c r="P16">
        <f>sales[[#This Row],[SalesAfterDiscount]]-sales[[#This Row],[CostOfGoodsSold]]</f>
        <v>2258.8780000000006</v>
      </c>
      <c r="Q16">
        <f>IFERROR(sales[[#This Row],[GrossProfit]]/sales[[#This Row],[SalesAfterDiscount]],0)</f>
        <v>0.22912120425874025</v>
      </c>
    </row>
    <row r="17" spans="1:17">
      <c r="A17" t="s">
        <v>74</v>
      </c>
      <c r="B17" t="s">
        <v>75</v>
      </c>
      <c r="C17" s="1">
        <v>46068</v>
      </c>
      <c r="D17" t="s">
        <v>76</v>
      </c>
      <c r="E17" t="s">
        <v>72</v>
      </c>
      <c r="F17" t="s">
        <v>77</v>
      </c>
      <c r="G17" t="s">
        <v>16</v>
      </c>
      <c r="H17">
        <v>1</v>
      </c>
      <c r="I17">
        <v>11999.07</v>
      </c>
      <c r="J17">
        <v>0.05</v>
      </c>
      <c r="K17">
        <v>9550</v>
      </c>
      <c r="L17">
        <f>sales[[#This Row],[Quantity]]*sales[[#This Row],[UnitPrice]]</f>
        <v>11999.07</v>
      </c>
      <c r="M17">
        <f>sales[[#This Row],[GrossSales]]*sales[[#This Row],[DiscountRate]]</f>
        <v>599.95349999999996</v>
      </c>
      <c r="N17">
        <f>sales[[#This Row],[GrossSales]]-sales[[#This Row],[DiscountAmount]]</f>
        <v>11399.1165</v>
      </c>
      <c r="O17">
        <f>sales[[#This Row],[Quantity]]*sales[[#This Row],[UnitCostAtSale]]</f>
        <v>9550</v>
      </c>
      <c r="P17">
        <f>sales[[#This Row],[SalesAfterDiscount]]-sales[[#This Row],[CostOfGoodsSold]]</f>
        <v>1849.1165000000001</v>
      </c>
      <c r="Q17">
        <f>IFERROR(sales[[#This Row],[GrossProfit]]/sales[[#This Row],[SalesAfterDiscount]],0)</f>
        <v>0.16221577347683042</v>
      </c>
    </row>
    <row r="18" spans="1:17">
      <c r="A18" t="s">
        <v>78</v>
      </c>
      <c r="B18" t="s">
        <v>79</v>
      </c>
      <c r="C18" s="1">
        <v>46123</v>
      </c>
      <c r="D18" t="s">
        <v>80</v>
      </c>
      <c r="E18" t="s">
        <v>46</v>
      </c>
      <c r="F18" t="s">
        <v>81</v>
      </c>
      <c r="G18" t="s">
        <v>16</v>
      </c>
      <c r="H18">
        <v>3</v>
      </c>
      <c r="I18">
        <v>19555.88</v>
      </c>
      <c r="J18">
        <v>0.15</v>
      </c>
      <c r="K18">
        <v>14200</v>
      </c>
      <c r="L18">
        <f>sales[[#This Row],[Quantity]]*sales[[#This Row],[UnitPrice]]</f>
        <v>58667.64</v>
      </c>
      <c r="M18">
        <f>sales[[#This Row],[GrossSales]]*sales[[#This Row],[DiscountRate]]</f>
        <v>8800.1459999999988</v>
      </c>
      <c r="N18">
        <f>sales[[#This Row],[GrossSales]]-sales[[#This Row],[DiscountAmount]]</f>
        <v>49867.493999999999</v>
      </c>
      <c r="O18">
        <f>sales[[#This Row],[Quantity]]*sales[[#This Row],[UnitCostAtSale]]</f>
        <v>42600</v>
      </c>
      <c r="P18">
        <f>sales[[#This Row],[SalesAfterDiscount]]-sales[[#This Row],[CostOfGoodsSold]]</f>
        <v>7267.4939999999988</v>
      </c>
      <c r="Q18">
        <f>IFERROR(sales[[#This Row],[GrossProfit]]/sales[[#This Row],[SalesAfterDiscount]],0)</f>
        <v>0.14573609814842509</v>
      </c>
    </row>
    <row r="19" spans="1:17">
      <c r="A19" t="s">
        <v>82</v>
      </c>
      <c r="B19" t="s">
        <v>83</v>
      </c>
      <c r="C19" s="1">
        <v>45852</v>
      </c>
      <c r="D19" t="s">
        <v>29</v>
      </c>
      <c r="E19" t="s">
        <v>14</v>
      </c>
      <c r="F19" t="s">
        <v>84</v>
      </c>
      <c r="G19" t="s">
        <v>22</v>
      </c>
      <c r="H19">
        <v>3</v>
      </c>
      <c r="I19">
        <v>13204.06</v>
      </c>
      <c r="J19">
        <v>0.05</v>
      </c>
      <c r="K19">
        <v>11050</v>
      </c>
      <c r="L19">
        <f>sales[[#This Row],[Quantity]]*sales[[#This Row],[UnitPrice]]</f>
        <v>39612.18</v>
      </c>
      <c r="M19">
        <f>sales[[#This Row],[GrossSales]]*sales[[#This Row],[DiscountRate]]</f>
        <v>1980.6090000000002</v>
      </c>
      <c r="N19">
        <f>sales[[#This Row],[GrossSales]]-sales[[#This Row],[DiscountAmount]]</f>
        <v>37631.571000000004</v>
      </c>
      <c r="O19">
        <f>sales[[#This Row],[Quantity]]*sales[[#This Row],[UnitCostAtSale]]</f>
        <v>33150</v>
      </c>
      <c r="P19">
        <f>sales[[#This Row],[SalesAfterDiscount]]-sales[[#This Row],[CostOfGoodsSold]]</f>
        <v>4481.5710000000036</v>
      </c>
      <c r="Q19">
        <f>IFERROR(sales[[#This Row],[GrossProfit]]/sales[[#This Row],[SalesAfterDiscount]],0)</f>
        <v>0.11909072305272621</v>
      </c>
    </row>
    <row r="20" spans="1:17">
      <c r="A20" t="s">
        <v>85</v>
      </c>
      <c r="B20" t="s">
        <v>86</v>
      </c>
      <c r="C20" s="1">
        <v>45979</v>
      </c>
      <c r="D20" t="s">
        <v>87</v>
      </c>
      <c r="E20" t="s">
        <v>46</v>
      </c>
      <c r="F20" t="s">
        <v>73</v>
      </c>
      <c r="G20" t="s">
        <v>22</v>
      </c>
      <c r="H20">
        <v>1</v>
      </c>
      <c r="I20">
        <v>9337.2199999999993</v>
      </c>
      <c r="J20">
        <v>0</v>
      </c>
      <c r="K20">
        <v>6050</v>
      </c>
      <c r="L20">
        <f>sales[[#This Row],[Quantity]]*sales[[#This Row],[UnitPrice]]</f>
        <v>9337.2199999999993</v>
      </c>
      <c r="M20">
        <f>sales[[#This Row],[GrossSales]]*sales[[#This Row],[DiscountRate]]</f>
        <v>0</v>
      </c>
      <c r="N20">
        <f>sales[[#This Row],[GrossSales]]-sales[[#This Row],[DiscountAmount]]</f>
        <v>9337.2199999999993</v>
      </c>
      <c r="O20">
        <f>sales[[#This Row],[Quantity]]*sales[[#This Row],[UnitCostAtSale]]</f>
        <v>6050</v>
      </c>
      <c r="P20">
        <f>sales[[#This Row],[SalesAfterDiscount]]-sales[[#This Row],[CostOfGoodsSold]]</f>
        <v>3287.2199999999993</v>
      </c>
      <c r="Q20">
        <f>IFERROR(sales[[#This Row],[GrossProfit]]/sales[[#This Row],[SalesAfterDiscount]],0)</f>
        <v>0.35205553687285934</v>
      </c>
    </row>
    <row r="21" spans="1:17">
      <c r="A21" t="s">
        <v>88</v>
      </c>
      <c r="B21" t="s">
        <v>89</v>
      </c>
      <c r="C21" s="1">
        <v>46178</v>
      </c>
      <c r="D21" t="s">
        <v>60</v>
      </c>
      <c r="E21" t="s">
        <v>14</v>
      </c>
      <c r="F21" t="s">
        <v>15</v>
      </c>
      <c r="G21" t="s">
        <v>22</v>
      </c>
      <c r="H21">
        <v>1</v>
      </c>
      <c r="I21">
        <v>9389.4699999999993</v>
      </c>
      <c r="J21">
        <v>0.05</v>
      </c>
      <c r="K21">
        <v>7250</v>
      </c>
      <c r="L21">
        <f>sales[[#This Row],[Quantity]]*sales[[#This Row],[UnitPrice]]</f>
        <v>9389.4699999999993</v>
      </c>
      <c r="M21">
        <f>sales[[#This Row],[GrossSales]]*sales[[#This Row],[DiscountRate]]</f>
        <v>469.4735</v>
      </c>
      <c r="N21">
        <f>sales[[#This Row],[GrossSales]]-sales[[#This Row],[DiscountAmount]]</f>
        <v>8919.9964999999993</v>
      </c>
      <c r="O21">
        <f>sales[[#This Row],[Quantity]]*sales[[#This Row],[UnitCostAtSale]]</f>
        <v>7250</v>
      </c>
      <c r="P21">
        <f>sales[[#This Row],[SalesAfterDiscount]]-sales[[#This Row],[CostOfGoodsSold]]</f>
        <v>1669.9964999999993</v>
      </c>
      <c r="Q21">
        <f>IFERROR(sales[[#This Row],[GrossProfit]]/sales[[#This Row],[SalesAfterDiscount]],0)</f>
        <v>0.18721941202555398</v>
      </c>
    </row>
    <row r="22" spans="1:17">
      <c r="A22" t="s">
        <v>90</v>
      </c>
      <c r="B22" t="s">
        <v>91</v>
      </c>
      <c r="C22" s="1">
        <v>45898</v>
      </c>
      <c r="D22" t="s">
        <v>49</v>
      </c>
      <c r="E22" t="s">
        <v>46</v>
      </c>
      <c r="F22" t="s">
        <v>92</v>
      </c>
      <c r="G22" t="s">
        <v>22</v>
      </c>
      <c r="H22">
        <v>4</v>
      </c>
      <c r="I22">
        <v>13787.88</v>
      </c>
      <c r="J22">
        <v>0</v>
      </c>
      <c r="K22">
        <v>9500</v>
      </c>
      <c r="L22">
        <f>sales[[#This Row],[Quantity]]*sales[[#This Row],[UnitPrice]]</f>
        <v>55151.519999999997</v>
      </c>
      <c r="M22">
        <f>sales[[#This Row],[GrossSales]]*sales[[#This Row],[DiscountRate]]</f>
        <v>0</v>
      </c>
      <c r="N22">
        <f>sales[[#This Row],[GrossSales]]-sales[[#This Row],[DiscountAmount]]</f>
        <v>55151.519999999997</v>
      </c>
      <c r="O22">
        <f>sales[[#This Row],[Quantity]]*sales[[#This Row],[UnitCostAtSale]]</f>
        <v>38000</v>
      </c>
      <c r="P22">
        <f>sales[[#This Row],[SalesAfterDiscount]]-sales[[#This Row],[CostOfGoodsSold]]</f>
        <v>17151.519999999997</v>
      </c>
      <c r="Q22">
        <f>IFERROR(sales[[#This Row],[GrossProfit]]/sales[[#This Row],[SalesAfterDiscount]],0)</f>
        <v>0.31098907156140027</v>
      </c>
    </row>
    <row r="23" spans="1:17">
      <c r="A23" t="s">
        <v>93</v>
      </c>
      <c r="B23" t="s">
        <v>94</v>
      </c>
      <c r="C23" s="1">
        <v>45741</v>
      </c>
      <c r="D23" t="s">
        <v>95</v>
      </c>
      <c r="E23" t="s">
        <v>46</v>
      </c>
      <c r="F23" t="s">
        <v>96</v>
      </c>
      <c r="G23" t="s">
        <v>16</v>
      </c>
      <c r="H23">
        <v>4</v>
      </c>
      <c r="I23">
        <v>12048.66</v>
      </c>
      <c r="J23">
        <v>0.2</v>
      </c>
      <c r="K23">
        <v>9900</v>
      </c>
      <c r="L23">
        <f>sales[[#This Row],[Quantity]]*sales[[#This Row],[UnitPrice]]</f>
        <v>48194.64</v>
      </c>
      <c r="M23">
        <f>sales[[#This Row],[GrossSales]]*sales[[#This Row],[DiscountRate]]</f>
        <v>9638.9279999999999</v>
      </c>
      <c r="N23">
        <f>sales[[#This Row],[GrossSales]]-sales[[#This Row],[DiscountAmount]]</f>
        <v>38555.712</v>
      </c>
      <c r="O23">
        <f>sales[[#This Row],[Quantity]]*sales[[#This Row],[UnitCostAtSale]]</f>
        <v>39600</v>
      </c>
      <c r="P23">
        <f>sales[[#This Row],[SalesAfterDiscount]]-sales[[#This Row],[CostOfGoodsSold]]</f>
        <v>-1044.2880000000005</v>
      </c>
      <c r="Q23">
        <f>IFERROR(sales[[#This Row],[GrossProfit]]/sales[[#This Row],[SalesAfterDiscount]],0)</f>
        <v>-2.7085169637121483E-2</v>
      </c>
    </row>
    <row r="24" spans="1:17">
      <c r="A24" t="s">
        <v>97</v>
      </c>
      <c r="B24" t="s">
        <v>98</v>
      </c>
      <c r="C24" s="1">
        <v>45925</v>
      </c>
      <c r="D24" t="s">
        <v>99</v>
      </c>
      <c r="E24" t="s">
        <v>50</v>
      </c>
      <c r="F24" t="s">
        <v>100</v>
      </c>
      <c r="G24" t="s">
        <v>16</v>
      </c>
      <c r="H24">
        <v>2</v>
      </c>
      <c r="I24">
        <v>10644.48</v>
      </c>
      <c r="J24">
        <v>0.1</v>
      </c>
      <c r="K24">
        <v>7050</v>
      </c>
      <c r="L24">
        <f>sales[[#This Row],[Quantity]]*sales[[#This Row],[UnitPrice]]</f>
        <v>21288.959999999999</v>
      </c>
      <c r="M24">
        <f>sales[[#This Row],[GrossSales]]*sales[[#This Row],[DiscountRate]]</f>
        <v>2128.8960000000002</v>
      </c>
      <c r="N24">
        <f>sales[[#This Row],[GrossSales]]-sales[[#This Row],[DiscountAmount]]</f>
        <v>19160.063999999998</v>
      </c>
      <c r="O24">
        <f>sales[[#This Row],[Quantity]]*sales[[#This Row],[UnitCostAtSale]]</f>
        <v>14100</v>
      </c>
      <c r="P24">
        <f>sales[[#This Row],[SalesAfterDiscount]]-sales[[#This Row],[CostOfGoodsSold]]</f>
        <v>5060.0639999999985</v>
      </c>
      <c r="Q24">
        <f>IFERROR(sales[[#This Row],[GrossProfit]]/sales[[#This Row],[SalesAfterDiscount]],0)</f>
        <v>0.26409431617764945</v>
      </c>
    </row>
    <row r="25" spans="1:17">
      <c r="A25" t="s">
        <v>101</v>
      </c>
      <c r="B25" t="s">
        <v>102</v>
      </c>
      <c r="C25" s="1">
        <v>45965</v>
      </c>
      <c r="D25" t="s">
        <v>29</v>
      </c>
      <c r="E25" t="s">
        <v>14</v>
      </c>
      <c r="F25" t="s">
        <v>103</v>
      </c>
      <c r="G25" t="s">
        <v>16</v>
      </c>
      <c r="H25">
        <v>4</v>
      </c>
      <c r="I25">
        <v>13204.06</v>
      </c>
      <c r="J25">
        <v>0.1</v>
      </c>
      <c r="K25">
        <v>11050</v>
      </c>
      <c r="L25">
        <f>sales[[#This Row],[Quantity]]*sales[[#This Row],[UnitPrice]]</f>
        <v>52816.24</v>
      </c>
      <c r="M25">
        <f>sales[[#This Row],[GrossSales]]*sales[[#This Row],[DiscountRate]]</f>
        <v>5281.6239999999998</v>
      </c>
      <c r="N25">
        <f>sales[[#This Row],[GrossSales]]-sales[[#This Row],[DiscountAmount]]</f>
        <v>47534.615999999995</v>
      </c>
      <c r="O25">
        <f>sales[[#This Row],[Quantity]]*sales[[#This Row],[UnitCostAtSale]]</f>
        <v>44200</v>
      </c>
      <c r="P25">
        <f>sales[[#This Row],[SalesAfterDiscount]]-sales[[#This Row],[CostOfGoodsSold]]</f>
        <v>3334.6159999999945</v>
      </c>
      <c r="Q25">
        <f>IFERROR(sales[[#This Row],[GrossProfit]]/sales[[#This Row],[SalesAfterDiscount]],0)</f>
        <v>7.0151318777877475E-2</v>
      </c>
    </row>
    <row r="26" spans="1:17">
      <c r="A26" t="s">
        <v>104</v>
      </c>
      <c r="B26" t="s">
        <v>105</v>
      </c>
      <c r="C26" s="1">
        <v>45760</v>
      </c>
      <c r="D26" t="s">
        <v>95</v>
      </c>
      <c r="E26" t="s">
        <v>50</v>
      </c>
      <c r="F26" t="s">
        <v>106</v>
      </c>
      <c r="G26" t="s">
        <v>16</v>
      </c>
      <c r="H26">
        <v>1</v>
      </c>
      <c r="I26">
        <v>12048.66</v>
      </c>
      <c r="J26">
        <v>0.2</v>
      </c>
      <c r="K26">
        <v>9900</v>
      </c>
      <c r="L26">
        <f>sales[[#This Row],[Quantity]]*sales[[#This Row],[UnitPrice]]</f>
        <v>12048.66</v>
      </c>
      <c r="M26">
        <f>sales[[#This Row],[GrossSales]]*sales[[#This Row],[DiscountRate]]</f>
        <v>2409.732</v>
      </c>
      <c r="N26">
        <f>sales[[#This Row],[GrossSales]]-sales[[#This Row],[DiscountAmount]]</f>
        <v>9638.9279999999999</v>
      </c>
      <c r="O26">
        <f>sales[[#This Row],[Quantity]]*sales[[#This Row],[UnitCostAtSale]]</f>
        <v>9900</v>
      </c>
      <c r="P26">
        <f>sales[[#This Row],[SalesAfterDiscount]]-sales[[#This Row],[CostOfGoodsSold]]</f>
        <v>-261.07200000000012</v>
      </c>
      <c r="Q26">
        <f>IFERROR(sales[[#This Row],[GrossProfit]]/sales[[#This Row],[SalesAfterDiscount]],0)</f>
        <v>-2.7085169637121483E-2</v>
      </c>
    </row>
    <row r="27" spans="1:17">
      <c r="A27" t="s">
        <v>107</v>
      </c>
      <c r="B27" t="s">
        <v>108</v>
      </c>
      <c r="C27" s="1">
        <v>46015</v>
      </c>
      <c r="D27" t="s">
        <v>29</v>
      </c>
      <c r="E27" t="s">
        <v>20</v>
      </c>
      <c r="F27" t="s">
        <v>109</v>
      </c>
      <c r="G27" t="s">
        <v>22</v>
      </c>
      <c r="H27">
        <v>1</v>
      </c>
      <c r="I27">
        <v>13204.06</v>
      </c>
      <c r="J27">
        <v>0.05</v>
      </c>
      <c r="K27">
        <v>11050</v>
      </c>
      <c r="L27">
        <f>sales[[#This Row],[Quantity]]*sales[[#This Row],[UnitPrice]]</f>
        <v>13204.06</v>
      </c>
      <c r="M27">
        <f>sales[[#This Row],[GrossSales]]*sales[[#This Row],[DiscountRate]]</f>
        <v>660.20299999999997</v>
      </c>
      <c r="N27">
        <f>sales[[#This Row],[GrossSales]]-sales[[#This Row],[DiscountAmount]]</f>
        <v>12543.857</v>
      </c>
      <c r="O27">
        <f>sales[[#This Row],[Quantity]]*sales[[#This Row],[UnitCostAtSale]]</f>
        <v>11050</v>
      </c>
      <c r="P27">
        <f>sales[[#This Row],[SalesAfterDiscount]]-sales[[#This Row],[CostOfGoodsSold]]</f>
        <v>1493.857</v>
      </c>
      <c r="Q27">
        <f>IFERROR(sales[[#This Row],[GrossProfit]]/sales[[#This Row],[SalesAfterDiscount]],0)</f>
        <v>0.11909072305272612</v>
      </c>
    </row>
    <row r="28" spans="1:17">
      <c r="A28" t="s">
        <v>110</v>
      </c>
      <c r="B28" t="s">
        <v>111</v>
      </c>
      <c r="C28" s="1">
        <v>45967</v>
      </c>
      <c r="D28" t="s">
        <v>112</v>
      </c>
      <c r="E28" t="s">
        <v>14</v>
      </c>
      <c r="F28" t="s">
        <v>113</v>
      </c>
      <c r="G28" t="s">
        <v>16</v>
      </c>
      <c r="H28">
        <v>5</v>
      </c>
      <c r="I28">
        <v>10868.14</v>
      </c>
      <c r="J28">
        <v>0.2</v>
      </c>
      <c r="K28">
        <v>8850</v>
      </c>
      <c r="L28">
        <f>sales[[#This Row],[Quantity]]*sales[[#This Row],[UnitPrice]]</f>
        <v>54340.7</v>
      </c>
      <c r="M28">
        <f>sales[[#This Row],[GrossSales]]*sales[[#This Row],[DiscountRate]]</f>
        <v>10868.14</v>
      </c>
      <c r="N28">
        <f>sales[[#This Row],[GrossSales]]-sales[[#This Row],[DiscountAmount]]</f>
        <v>43472.56</v>
      </c>
      <c r="O28">
        <f>sales[[#This Row],[Quantity]]*sales[[#This Row],[UnitCostAtSale]]</f>
        <v>44250</v>
      </c>
      <c r="P28">
        <f>sales[[#This Row],[SalesAfterDiscount]]-sales[[#This Row],[CostOfGoodsSold]]</f>
        <v>-777.44000000000233</v>
      </c>
      <c r="Q28">
        <f>IFERROR(sales[[#This Row],[GrossProfit]]/sales[[#This Row],[SalesAfterDiscount]],0)</f>
        <v>-1.7883464879915108E-2</v>
      </c>
    </row>
    <row r="29" spans="1:17">
      <c r="A29" t="s">
        <v>114</v>
      </c>
      <c r="B29" t="s">
        <v>115</v>
      </c>
      <c r="C29" s="1">
        <v>45764</v>
      </c>
      <c r="D29" t="s">
        <v>99</v>
      </c>
      <c r="E29" t="s">
        <v>14</v>
      </c>
      <c r="F29" t="s">
        <v>116</v>
      </c>
      <c r="G29" t="s">
        <v>22</v>
      </c>
      <c r="H29">
        <v>2</v>
      </c>
      <c r="I29">
        <v>10644.48</v>
      </c>
      <c r="J29">
        <v>0.1</v>
      </c>
      <c r="K29">
        <v>7050</v>
      </c>
      <c r="L29">
        <f>sales[[#This Row],[Quantity]]*sales[[#This Row],[UnitPrice]]</f>
        <v>21288.959999999999</v>
      </c>
      <c r="M29">
        <f>sales[[#This Row],[GrossSales]]*sales[[#This Row],[DiscountRate]]</f>
        <v>2128.8960000000002</v>
      </c>
      <c r="N29">
        <f>sales[[#This Row],[GrossSales]]-sales[[#This Row],[DiscountAmount]]</f>
        <v>19160.063999999998</v>
      </c>
      <c r="O29">
        <f>sales[[#This Row],[Quantity]]*sales[[#This Row],[UnitCostAtSale]]</f>
        <v>14100</v>
      </c>
      <c r="P29">
        <f>sales[[#This Row],[SalesAfterDiscount]]-sales[[#This Row],[CostOfGoodsSold]]</f>
        <v>5060.0639999999985</v>
      </c>
      <c r="Q29">
        <f>IFERROR(sales[[#This Row],[GrossProfit]]/sales[[#This Row],[SalesAfterDiscount]],0)</f>
        <v>0.26409431617764945</v>
      </c>
    </row>
    <row r="30" spans="1:17">
      <c r="A30" t="s">
        <v>117</v>
      </c>
      <c r="B30" t="s">
        <v>118</v>
      </c>
      <c r="C30" s="1">
        <v>45946</v>
      </c>
      <c r="D30" t="s">
        <v>80</v>
      </c>
      <c r="E30" t="s">
        <v>20</v>
      </c>
      <c r="F30" t="s">
        <v>119</v>
      </c>
      <c r="G30" t="s">
        <v>16</v>
      </c>
      <c r="H30">
        <v>5</v>
      </c>
      <c r="I30">
        <v>19555.88</v>
      </c>
      <c r="J30">
        <v>0.05</v>
      </c>
      <c r="K30">
        <v>14200</v>
      </c>
      <c r="L30">
        <f>sales[[#This Row],[Quantity]]*sales[[#This Row],[UnitPrice]]</f>
        <v>97779.400000000009</v>
      </c>
      <c r="M30">
        <f>sales[[#This Row],[GrossSales]]*sales[[#This Row],[DiscountRate]]</f>
        <v>4888.97</v>
      </c>
      <c r="N30">
        <f>sales[[#This Row],[GrossSales]]-sales[[#This Row],[DiscountAmount]]</f>
        <v>92890.430000000008</v>
      </c>
      <c r="O30">
        <f>sales[[#This Row],[Quantity]]*sales[[#This Row],[UnitCostAtSale]]</f>
        <v>71000</v>
      </c>
      <c r="P30">
        <f>sales[[#This Row],[SalesAfterDiscount]]-sales[[#This Row],[CostOfGoodsSold]]</f>
        <v>21890.430000000008</v>
      </c>
      <c r="Q30">
        <f>IFERROR(sales[[#This Row],[GrossProfit]]/sales[[#This Row],[SalesAfterDiscount]],0)</f>
        <v>0.23565861413280148</v>
      </c>
    </row>
    <row r="31" spans="1:17">
      <c r="A31" t="s">
        <v>120</v>
      </c>
      <c r="B31" t="s">
        <v>121</v>
      </c>
      <c r="C31" s="1">
        <v>46158</v>
      </c>
      <c r="D31" t="s">
        <v>122</v>
      </c>
      <c r="E31" t="s">
        <v>14</v>
      </c>
      <c r="F31" t="s">
        <v>123</v>
      </c>
      <c r="G31" t="s">
        <v>16</v>
      </c>
      <c r="H31">
        <v>3</v>
      </c>
      <c r="I31">
        <v>13246.95</v>
      </c>
      <c r="J31">
        <v>0</v>
      </c>
      <c r="K31">
        <v>9050</v>
      </c>
      <c r="L31">
        <f>sales[[#This Row],[Quantity]]*sales[[#This Row],[UnitPrice]]</f>
        <v>39740.850000000006</v>
      </c>
      <c r="M31">
        <f>sales[[#This Row],[GrossSales]]*sales[[#This Row],[DiscountRate]]</f>
        <v>0</v>
      </c>
      <c r="N31">
        <f>sales[[#This Row],[GrossSales]]-sales[[#This Row],[DiscountAmount]]</f>
        <v>39740.850000000006</v>
      </c>
      <c r="O31">
        <f>sales[[#This Row],[Quantity]]*sales[[#This Row],[UnitCostAtSale]]</f>
        <v>27150</v>
      </c>
      <c r="P31">
        <f>sales[[#This Row],[SalesAfterDiscount]]-sales[[#This Row],[CostOfGoodsSold]]</f>
        <v>12590.850000000006</v>
      </c>
      <c r="Q31">
        <f>IFERROR(sales[[#This Row],[GrossProfit]]/sales[[#This Row],[SalesAfterDiscount]],0)</f>
        <v>0.31682387266502865</v>
      </c>
    </row>
    <row r="32" spans="1:17">
      <c r="A32" t="s">
        <v>124</v>
      </c>
      <c r="B32" t="s">
        <v>125</v>
      </c>
      <c r="C32" s="1">
        <v>45941</v>
      </c>
      <c r="D32" t="s">
        <v>126</v>
      </c>
      <c r="E32" t="s">
        <v>20</v>
      </c>
      <c r="F32" t="s">
        <v>127</v>
      </c>
      <c r="G32" t="s">
        <v>22</v>
      </c>
      <c r="H32">
        <v>1</v>
      </c>
      <c r="I32">
        <v>17523.439999999999</v>
      </c>
      <c r="J32">
        <v>0</v>
      </c>
      <c r="K32">
        <v>11850</v>
      </c>
      <c r="L32">
        <f>sales[[#This Row],[Quantity]]*sales[[#This Row],[UnitPrice]]</f>
        <v>17523.439999999999</v>
      </c>
      <c r="M32">
        <f>sales[[#This Row],[GrossSales]]*sales[[#This Row],[DiscountRate]]</f>
        <v>0</v>
      </c>
      <c r="N32">
        <f>sales[[#This Row],[GrossSales]]-sales[[#This Row],[DiscountAmount]]</f>
        <v>17523.439999999999</v>
      </c>
      <c r="O32">
        <f>sales[[#This Row],[Quantity]]*sales[[#This Row],[UnitCostAtSale]]</f>
        <v>11850</v>
      </c>
      <c r="P32">
        <f>sales[[#This Row],[SalesAfterDiscount]]-sales[[#This Row],[CostOfGoodsSold]]</f>
        <v>5673.4399999999987</v>
      </c>
      <c r="Q32">
        <f>IFERROR(sales[[#This Row],[GrossProfit]]/sales[[#This Row],[SalesAfterDiscount]],0)</f>
        <v>0.32376291413101532</v>
      </c>
    </row>
    <row r="33" spans="1:17">
      <c r="A33" t="s">
        <v>128</v>
      </c>
      <c r="B33" t="s">
        <v>129</v>
      </c>
      <c r="C33" s="1">
        <v>45926</v>
      </c>
      <c r="D33" t="s">
        <v>130</v>
      </c>
      <c r="E33" t="s">
        <v>46</v>
      </c>
      <c r="F33" t="s">
        <v>131</v>
      </c>
      <c r="G33" t="s">
        <v>16</v>
      </c>
      <c r="H33">
        <v>2</v>
      </c>
      <c r="I33">
        <v>12166.11</v>
      </c>
      <c r="J33">
        <v>0.15</v>
      </c>
      <c r="K33">
        <v>7750</v>
      </c>
      <c r="L33">
        <f>sales[[#This Row],[Quantity]]*sales[[#This Row],[UnitPrice]]</f>
        <v>24332.22</v>
      </c>
      <c r="M33">
        <f>sales[[#This Row],[GrossSales]]*sales[[#This Row],[DiscountRate]]</f>
        <v>3649.8330000000001</v>
      </c>
      <c r="N33">
        <f>sales[[#This Row],[GrossSales]]-sales[[#This Row],[DiscountAmount]]</f>
        <v>20682.387000000002</v>
      </c>
      <c r="O33">
        <f>sales[[#This Row],[Quantity]]*sales[[#This Row],[UnitCostAtSale]]</f>
        <v>15500</v>
      </c>
      <c r="P33">
        <f>sales[[#This Row],[SalesAfterDiscount]]-sales[[#This Row],[CostOfGoodsSold]]</f>
        <v>5182.3870000000024</v>
      </c>
      <c r="Q33">
        <f>IFERROR(sales[[#This Row],[GrossProfit]]/sales[[#This Row],[SalesAfterDiscount]],0)</f>
        <v>0.25057006234338436</v>
      </c>
    </row>
    <row r="34" spans="1:17">
      <c r="A34" t="s">
        <v>132</v>
      </c>
      <c r="B34" t="s">
        <v>133</v>
      </c>
      <c r="C34" s="1">
        <v>45667</v>
      </c>
      <c r="D34" t="s">
        <v>64</v>
      </c>
      <c r="E34" t="s">
        <v>50</v>
      </c>
      <c r="F34" t="s">
        <v>134</v>
      </c>
      <c r="G34" t="s">
        <v>22</v>
      </c>
      <c r="H34">
        <v>1</v>
      </c>
      <c r="I34">
        <v>2056.0100000000002</v>
      </c>
      <c r="J34">
        <v>0</v>
      </c>
      <c r="K34">
        <v>1350</v>
      </c>
      <c r="L34">
        <f>sales[[#This Row],[Quantity]]*sales[[#This Row],[UnitPrice]]</f>
        <v>2056.0100000000002</v>
      </c>
      <c r="M34">
        <f>sales[[#This Row],[GrossSales]]*sales[[#This Row],[DiscountRate]]</f>
        <v>0</v>
      </c>
      <c r="N34">
        <f>sales[[#This Row],[GrossSales]]-sales[[#This Row],[DiscountAmount]]</f>
        <v>2056.0100000000002</v>
      </c>
      <c r="O34">
        <f>sales[[#This Row],[Quantity]]*sales[[#This Row],[UnitCostAtSale]]</f>
        <v>1350</v>
      </c>
      <c r="P34">
        <f>sales[[#This Row],[SalesAfterDiscount]]-sales[[#This Row],[CostOfGoodsSold]]</f>
        <v>706.01000000000022</v>
      </c>
      <c r="Q34">
        <f>IFERROR(sales[[#This Row],[GrossProfit]]/sales[[#This Row],[SalesAfterDiscount]],0)</f>
        <v>0.34338840764393175</v>
      </c>
    </row>
    <row r="35" spans="1:17">
      <c r="A35" t="s">
        <v>135</v>
      </c>
      <c r="B35" t="s">
        <v>136</v>
      </c>
      <c r="C35" s="1">
        <v>46036</v>
      </c>
      <c r="D35" t="s">
        <v>126</v>
      </c>
      <c r="E35" t="s">
        <v>50</v>
      </c>
      <c r="F35" t="s">
        <v>137</v>
      </c>
      <c r="G35" t="s">
        <v>22</v>
      </c>
      <c r="H35">
        <v>5</v>
      </c>
      <c r="I35">
        <v>17523.439999999999</v>
      </c>
      <c r="J35">
        <v>0.2</v>
      </c>
      <c r="K35">
        <v>11850</v>
      </c>
      <c r="L35">
        <f>sales[[#This Row],[Quantity]]*sales[[#This Row],[UnitPrice]]</f>
        <v>87617.2</v>
      </c>
      <c r="M35">
        <f>sales[[#This Row],[GrossSales]]*sales[[#This Row],[DiscountRate]]</f>
        <v>17523.439999999999</v>
      </c>
      <c r="N35">
        <f>sales[[#This Row],[GrossSales]]-sales[[#This Row],[DiscountAmount]]</f>
        <v>70093.759999999995</v>
      </c>
      <c r="O35">
        <f>sales[[#This Row],[Quantity]]*sales[[#This Row],[UnitCostAtSale]]</f>
        <v>59250</v>
      </c>
      <c r="P35">
        <f>sales[[#This Row],[SalesAfterDiscount]]-sales[[#This Row],[CostOfGoodsSold]]</f>
        <v>10843.759999999995</v>
      </c>
      <c r="Q35">
        <f>IFERROR(sales[[#This Row],[GrossProfit]]/sales[[#This Row],[SalesAfterDiscount]],0)</f>
        <v>0.15470364266376915</v>
      </c>
    </row>
    <row r="36" spans="1:17">
      <c r="A36" t="s">
        <v>138</v>
      </c>
      <c r="B36" t="s">
        <v>139</v>
      </c>
      <c r="C36" s="1">
        <v>45973</v>
      </c>
      <c r="D36" t="s">
        <v>60</v>
      </c>
      <c r="E36" t="s">
        <v>20</v>
      </c>
      <c r="F36" t="s">
        <v>119</v>
      </c>
      <c r="G36" t="s">
        <v>22</v>
      </c>
      <c r="H36">
        <v>3</v>
      </c>
      <c r="I36">
        <v>9389.4699999999993</v>
      </c>
      <c r="J36">
        <v>0</v>
      </c>
      <c r="K36">
        <v>7250</v>
      </c>
      <c r="L36">
        <f>sales[[#This Row],[Quantity]]*sales[[#This Row],[UnitPrice]]</f>
        <v>28168.409999999996</v>
      </c>
      <c r="M36">
        <f>sales[[#This Row],[GrossSales]]*sales[[#This Row],[DiscountRate]]</f>
        <v>0</v>
      </c>
      <c r="N36">
        <f>sales[[#This Row],[GrossSales]]-sales[[#This Row],[DiscountAmount]]</f>
        <v>28168.409999999996</v>
      </c>
      <c r="O36">
        <f>sales[[#This Row],[Quantity]]*sales[[#This Row],[UnitCostAtSale]]</f>
        <v>21750</v>
      </c>
      <c r="P36">
        <f>sales[[#This Row],[SalesAfterDiscount]]-sales[[#This Row],[CostOfGoodsSold]]</f>
        <v>6418.4099999999962</v>
      </c>
      <c r="Q36">
        <f>IFERROR(sales[[#This Row],[GrossProfit]]/sales[[#This Row],[SalesAfterDiscount]],0)</f>
        <v>0.22785844142427625</v>
      </c>
    </row>
    <row r="37" spans="1:17">
      <c r="A37" t="s">
        <v>140</v>
      </c>
      <c r="B37" t="s">
        <v>141</v>
      </c>
      <c r="C37" s="1">
        <v>45763</v>
      </c>
      <c r="D37" t="s">
        <v>49</v>
      </c>
      <c r="E37" t="s">
        <v>72</v>
      </c>
      <c r="F37" t="s">
        <v>142</v>
      </c>
      <c r="G37" t="s">
        <v>22</v>
      </c>
      <c r="H37">
        <v>3</v>
      </c>
      <c r="I37">
        <v>13787.88</v>
      </c>
      <c r="J37">
        <v>0.2</v>
      </c>
      <c r="K37">
        <v>9500</v>
      </c>
      <c r="L37">
        <f>sales[[#This Row],[Quantity]]*sales[[#This Row],[UnitPrice]]</f>
        <v>41363.64</v>
      </c>
      <c r="M37">
        <f>sales[[#This Row],[GrossSales]]*sales[[#This Row],[DiscountRate]]</f>
        <v>8272.728000000001</v>
      </c>
      <c r="N37">
        <f>sales[[#This Row],[GrossSales]]-sales[[#This Row],[DiscountAmount]]</f>
        <v>33090.911999999997</v>
      </c>
      <c r="O37">
        <f>sales[[#This Row],[Quantity]]*sales[[#This Row],[UnitCostAtSale]]</f>
        <v>28500</v>
      </c>
      <c r="P37">
        <f>sales[[#This Row],[SalesAfterDiscount]]-sales[[#This Row],[CostOfGoodsSold]]</f>
        <v>4590.9119999999966</v>
      </c>
      <c r="Q37">
        <f>IFERROR(sales[[#This Row],[GrossProfit]]/sales[[#This Row],[SalesAfterDiscount]],0)</f>
        <v>0.13873633945175029</v>
      </c>
    </row>
    <row r="38" spans="1:17">
      <c r="A38" t="s">
        <v>143</v>
      </c>
      <c r="B38" t="s">
        <v>144</v>
      </c>
      <c r="C38" s="1">
        <v>45900</v>
      </c>
      <c r="D38" t="s">
        <v>99</v>
      </c>
      <c r="E38" t="s">
        <v>72</v>
      </c>
      <c r="F38" t="s">
        <v>145</v>
      </c>
      <c r="G38" t="s">
        <v>22</v>
      </c>
      <c r="H38">
        <v>2</v>
      </c>
      <c r="I38">
        <v>10644.48</v>
      </c>
      <c r="J38">
        <v>0.05</v>
      </c>
      <c r="K38">
        <v>7050</v>
      </c>
      <c r="L38">
        <f>sales[[#This Row],[Quantity]]*sales[[#This Row],[UnitPrice]]</f>
        <v>21288.959999999999</v>
      </c>
      <c r="M38">
        <f>sales[[#This Row],[GrossSales]]*sales[[#This Row],[DiscountRate]]</f>
        <v>1064.4480000000001</v>
      </c>
      <c r="N38">
        <f>sales[[#This Row],[GrossSales]]-sales[[#This Row],[DiscountAmount]]</f>
        <v>20224.511999999999</v>
      </c>
      <c r="O38">
        <f>sales[[#This Row],[Quantity]]*sales[[#This Row],[UnitCostAtSale]]</f>
        <v>14100</v>
      </c>
      <c r="P38">
        <f>sales[[#This Row],[SalesAfterDiscount]]-sales[[#This Row],[CostOfGoodsSold]]</f>
        <v>6124.5119999999988</v>
      </c>
      <c r="Q38">
        <f>IFERROR(sales[[#This Row],[GrossProfit]]/sales[[#This Row],[SalesAfterDiscount]],0)</f>
        <v>0.30282619427356267</v>
      </c>
    </row>
    <row r="39" spans="1:17">
      <c r="A39" t="s">
        <v>146</v>
      </c>
      <c r="B39" t="s">
        <v>147</v>
      </c>
      <c r="C39" s="1">
        <v>45998</v>
      </c>
      <c r="D39" t="s">
        <v>87</v>
      </c>
      <c r="E39" t="s">
        <v>20</v>
      </c>
      <c r="F39" t="s">
        <v>148</v>
      </c>
      <c r="G39" t="s">
        <v>22</v>
      </c>
      <c r="H39">
        <v>4</v>
      </c>
      <c r="I39">
        <v>9337.2199999999993</v>
      </c>
      <c r="J39">
        <v>0.05</v>
      </c>
      <c r="K39">
        <v>6050</v>
      </c>
      <c r="L39">
        <f>sales[[#This Row],[Quantity]]*sales[[#This Row],[UnitPrice]]</f>
        <v>37348.879999999997</v>
      </c>
      <c r="M39">
        <f>sales[[#This Row],[GrossSales]]*sales[[#This Row],[DiscountRate]]</f>
        <v>1867.444</v>
      </c>
      <c r="N39">
        <f>sales[[#This Row],[GrossSales]]-sales[[#This Row],[DiscountAmount]]</f>
        <v>35481.435999999994</v>
      </c>
      <c r="O39">
        <f>sales[[#This Row],[Quantity]]*sales[[#This Row],[UnitCostAtSale]]</f>
        <v>24200</v>
      </c>
      <c r="P39">
        <f>sales[[#This Row],[SalesAfterDiscount]]-sales[[#This Row],[CostOfGoodsSold]]</f>
        <v>11281.435999999994</v>
      </c>
      <c r="Q39">
        <f>IFERROR(sales[[#This Row],[GrossProfit]]/sales[[#This Row],[SalesAfterDiscount]],0)</f>
        <v>0.31795319670827293</v>
      </c>
    </row>
    <row r="40" spans="1:17">
      <c r="A40" t="s">
        <v>149</v>
      </c>
      <c r="B40" t="s">
        <v>150</v>
      </c>
      <c r="C40" s="1">
        <v>45697</v>
      </c>
      <c r="D40" t="s">
        <v>151</v>
      </c>
      <c r="E40" t="s">
        <v>50</v>
      </c>
      <c r="F40" t="s">
        <v>152</v>
      </c>
      <c r="G40" t="s">
        <v>16</v>
      </c>
      <c r="H40">
        <v>4</v>
      </c>
      <c r="I40">
        <v>11729.87</v>
      </c>
      <c r="J40">
        <v>0.05</v>
      </c>
      <c r="K40">
        <v>8950</v>
      </c>
      <c r="L40">
        <f>sales[[#This Row],[Quantity]]*sales[[#This Row],[UnitPrice]]</f>
        <v>46919.48</v>
      </c>
      <c r="M40">
        <f>sales[[#This Row],[GrossSales]]*sales[[#This Row],[DiscountRate]]</f>
        <v>2345.9740000000002</v>
      </c>
      <c r="N40">
        <f>sales[[#This Row],[GrossSales]]-sales[[#This Row],[DiscountAmount]]</f>
        <v>44573.506000000001</v>
      </c>
      <c r="O40">
        <f>sales[[#This Row],[Quantity]]*sales[[#This Row],[UnitCostAtSale]]</f>
        <v>35800</v>
      </c>
      <c r="P40">
        <f>sales[[#This Row],[SalesAfterDiscount]]-sales[[#This Row],[CostOfGoodsSold]]</f>
        <v>8773.5060000000012</v>
      </c>
      <c r="Q40">
        <f>IFERROR(sales[[#This Row],[GrossProfit]]/sales[[#This Row],[SalesAfterDiscount]],0)</f>
        <v>0.19683230661729864</v>
      </c>
    </row>
    <row r="41" spans="1:17">
      <c r="A41" t="s">
        <v>153</v>
      </c>
      <c r="B41" t="s">
        <v>154</v>
      </c>
      <c r="C41" s="1">
        <v>45891</v>
      </c>
      <c r="D41" t="s">
        <v>155</v>
      </c>
      <c r="E41" t="s">
        <v>50</v>
      </c>
      <c r="F41" t="s">
        <v>156</v>
      </c>
      <c r="G41" t="s">
        <v>16</v>
      </c>
      <c r="H41">
        <v>2</v>
      </c>
      <c r="I41">
        <v>17046.37</v>
      </c>
      <c r="J41">
        <v>0</v>
      </c>
      <c r="K41">
        <v>11700</v>
      </c>
      <c r="L41">
        <f>sales[[#This Row],[Quantity]]*sales[[#This Row],[UnitPrice]]</f>
        <v>34092.74</v>
      </c>
      <c r="M41">
        <f>sales[[#This Row],[GrossSales]]*sales[[#This Row],[DiscountRate]]</f>
        <v>0</v>
      </c>
      <c r="N41">
        <f>sales[[#This Row],[GrossSales]]-sales[[#This Row],[DiscountAmount]]</f>
        <v>34092.74</v>
      </c>
      <c r="O41">
        <f>sales[[#This Row],[Quantity]]*sales[[#This Row],[UnitCostAtSale]]</f>
        <v>23400</v>
      </c>
      <c r="P41">
        <f>sales[[#This Row],[SalesAfterDiscount]]-sales[[#This Row],[CostOfGoodsSold]]</f>
        <v>10692.739999999998</v>
      </c>
      <c r="Q41">
        <f>IFERROR(sales[[#This Row],[GrossProfit]]/sales[[#This Row],[SalesAfterDiscount]],0)</f>
        <v>0.31363686227624998</v>
      </c>
    </row>
    <row r="42" spans="1:17">
      <c r="A42" t="s">
        <v>157</v>
      </c>
      <c r="B42" t="s">
        <v>158</v>
      </c>
      <c r="C42" s="1">
        <v>45729</v>
      </c>
      <c r="D42" t="s">
        <v>80</v>
      </c>
      <c r="E42" t="s">
        <v>46</v>
      </c>
      <c r="F42" t="s">
        <v>156</v>
      </c>
      <c r="G42" t="s">
        <v>16</v>
      </c>
      <c r="H42">
        <v>3</v>
      </c>
      <c r="I42">
        <v>19555.88</v>
      </c>
      <c r="J42">
        <v>0.1</v>
      </c>
      <c r="K42">
        <v>14200</v>
      </c>
      <c r="L42">
        <f>sales[[#This Row],[Quantity]]*sales[[#This Row],[UnitPrice]]</f>
        <v>58667.64</v>
      </c>
      <c r="M42">
        <f>sales[[#This Row],[GrossSales]]*sales[[#This Row],[DiscountRate]]</f>
        <v>5866.7640000000001</v>
      </c>
      <c r="N42">
        <f>sales[[#This Row],[GrossSales]]-sales[[#This Row],[DiscountAmount]]</f>
        <v>52800.875999999997</v>
      </c>
      <c r="O42">
        <f>sales[[#This Row],[Quantity]]*sales[[#This Row],[UnitCostAtSale]]</f>
        <v>42600</v>
      </c>
      <c r="P42">
        <f>sales[[#This Row],[SalesAfterDiscount]]-sales[[#This Row],[CostOfGoodsSold]]</f>
        <v>10200.875999999997</v>
      </c>
      <c r="Q42">
        <f>IFERROR(sales[[#This Row],[GrossProfit]]/sales[[#This Row],[SalesAfterDiscount]],0)</f>
        <v>0.19319520380684588</v>
      </c>
    </row>
    <row r="43" spans="1:17">
      <c r="A43" t="s">
        <v>159</v>
      </c>
      <c r="B43" t="s">
        <v>160</v>
      </c>
      <c r="C43" s="1">
        <v>45776</v>
      </c>
      <c r="D43" t="s">
        <v>161</v>
      </c>
      <c r="E43" t="s">
        <v>46</v>
      </c>
      <c r="F43" t="s">
        <v>100</v>
      </c>
      <c r="G43" t="s">
        <v>22</v>
      </c>
      <c r="H43">
        <v>3</v>
      </c>
      <c r="I43">
        <v>3694.44</v>
      </c>
      <c r="J43">
        <v>0.05</v>
      </c>
      <c r="K43">
        <v>3100</v>
      </c>
      <c r="L43">
        <f>sales[[#This Row],[Quantity]]*sales[[#This Row],[UnitPrice]]</f>
        <v>11083.32</v>
      </c>
      <c r="M43">
        <f>sales[[#This Row],[GrossSales]]*sales[[#This Row],[DiscountRate]]</f>
        <v>554.16600000000005</v>
      </c>
      <c r="N43">
        <f>sales[[#This Row],[GrossSales]]-sales[[#This Row],[DiscountAmount]]</f>
        <v>10529.154</v>
      </c>
      <c r="O43">
        <f>sales[[#This Row],[Quantity]]*sales[[#This Row],[UnitCostAtSale]]</f>
        <v>9300</v>
      </c>
      <c r="P43">
        <f>sales[[#This Row],[SalesAfterDiscount]]-sales[[#This Row],[CostOfGoodsSold]]</f>
        <v>1229.1540000000005</v>
      </c>
      <c r="Q43">
        <f>IFERROR(sales[[#This Row],[GrossProfit]]/sales[[#This Row],[SalesAfterDiscount]],0)</f>
        <v>0.11673815389156625</v>
      </c>
    </row>
    <row r="44" spans="1:17">
      <c r="A44" t="s">
        <v>162</v>
      </c>
      <c r="B44" t="s">
        <v>163</v>
      </c>
      <c r="C44" s="1">
        <v>46102</v>
      </c>
      <c r="D44" t="s">
        <v>37</v>
      </c>
      <c r="E44" t="s">
        <v>72</v>
      </c>
      <c r="F44" t="s">
        <v>164</v>
      </c>
      <c r="G44" t="s">
        <v>22</v>
      </c>
      <c r="H44">
        <v>3</v>
      </c>
      <c r="I44">
        <v>17336.23</v>
      </c>
      <c r="J44">
        <v>0.1</v>
      </c>
      <c r="K44">
        <v>14200</v>
      </c>
      <c r="L44">
        <f>sales[[#This Row],[Quantity]]*sales[[#This Row],[UnitPrice]]</f>
        <v>52008.69</v>
      </c>
      <c r="M44">
        <f>sales[[#This Row],[GrossSales]]*sales[[#This Row],[DiscountRate]]</f>
        <v>5200.8690000000006</v>
      </c>
      <c r="N44">
        <f>sales[[#This Row],[GrossSales]]-sales[[#This Row],[DiscountAmount]]</f>
        <v>46807.821000000004</v>
      </c>
      <c r="O44">
        <f>sales[[#This Row],[Quantity]]*sales[[#This Row],[UnitCostAtSale]]</f>
        <v>42600</v>
      </c>
      <c r="P44">
        <f>sales[[#This Row],[SalesAfterDiscount]]-sales[[#This Row],[CostOfGoodsSold]]</f>
        <v>4207.8210000000036</v>
      </c>
      <c r="Q44">
        <f>IFERROR(sales[[#This Row],[GrossProfit]]/sales[[#This Row],[SalesAfterDiscount]],0)</f>
        <v>8.9895682176702976E-2</v>
      </c>
    </row>
    <row r="45" spans="1:17">
      <c r="A45" t="s">
        <v>165</v>
      </c>
      <c r="B45" t="s">
        <v>166</v>
      </c>
      <c r="C45" s="1">
        <v>45852</v>
      </c>
      <c r="D45" t="s">
        <v>151</v>
      </c>
      <c r="E45" t="s">
        <v>72</v>
      </c>
      <c r="F45" t="s">
        <v>77</v>
      </c>
      <c r="G45" t="s">
        <v>22</v>
      </c>
      <c r="H45">
        <v>3</v>
      </c>
      <c r="I45">
        <v>11729.87</v>
      </c>
      <c r="J45">
        <v>0</v>
      </c>
      <c r="K45">
        <v>8950</v>
      </c>
      <c r="L45">
        <f>sales[[#This Row],[Quantity]]*sales[[#This Row],[UnitPrice]]</f>
        <v>35189.61</v>
      </c>
      <c r="M45">
        <f>sales[[#This Row],[GrossSales]]*sales[[#This Row],[DiscountRate]]</f>
        <v>0</v>
      </c>
      <c r="N45">
        <f>sales[[#This Row],[GrossSales]]-sales[[#This Row],[DiscountAmount]]</f>
        <v>35189.61</v>
      </c>
      <c r="O45">
        <f>sales[[#This Row],[Quantity]]*sales[[#This Row],[UnitCostAtSale]]</f>
        <v>26850</v>
      </c>
      <c r="P45">
        <f>sales[[#This Row],[SalesAfterDiscount]]-sales[[#This Row],[CostOfGoodsSold]]</f>
        <v>8339.61</v>
      </c>
      <c r="Q45">
        <f>IFERROR(sales[[#This Row],[GrossProfit]]/sales[[#This Row],[SalesAfterDiscount]],0)</f>
        <v>0.23699069128643371</v>
      </c>
    </row>
    <row r="46" spans="1:17">
      <c r="A46" t="s">
        <v>167</v>
      </c>
      <c r="B46" t="s">
        <v>168</v>
      </c>
      <c r="C46" s="1">
        <v>46099</v>
      </c>
      <c r="D46" t="s">
        <v>13</v>
      </c>
      <c r="E46" t="s">
        <v>46</v>
      </c>
      <c r="F46" t="s">
        <v>169</v>
      </c>
      <c r="G46" t="s">
        <v>22</v>
      </c>
      <c r="H46">
        <v>1</v>
      </c>
      <c r="I46">
        <v>6484.94</v>
      </c>
      <c r="J46">
        <v>0.1</v>
      </c>
      <c r="K46">
        <v>4300</v>
      </c>
      <c r="L46">
        <f>sales[[#This Row],[Quantity]]*sales[[#This Row],[UnitPrice]]</f>
        <v>6484.94</v>
      </c>
      <c r="M46">
        <f>sales[[#This Row],[GrossSales]]*sales[[#This Row],[DiscountRate]]</f>
        <v>648.49400000000003</v>
      </c>
      <c r="N46">
        <f>sales[[#This Row],[GrossSales]]-sales[[#This Row],[DiscountAmount]]</f>
        <v>5836.4459999999999</v>
      </c>
      <c r="O46">
        <f>sales[[#This Row],[Quantity]]*sales[[#This Row],[UnitCostAtSale]]</f>
        <v>4300</v>
      </c>
      <c r="P46">
        <f>sales[[#This Row],[SalesAfterDiscount]]-sales[[#This Row],[CostOfGoodsSold]]</f>
        <v>1536.4459999999999</v>
      </c>
      <c r="Q46">
        <f>IFERROR(sales[[#This Row],[GrossProfit]]/sales[[#This Row],[SalesAfterDiscount]],0)</f>
        <v>0.26325027251173061</v>
      </c>
    </row>
    <row r="47" spans="1:17">
      <c r="A47" t="s">
        <v>170</v>
      </c>
      <c r="B47" t="s">
        <v>171</v>
      </c>
      <c r="C47" s="1">
        <v>45965</v>
      </c>
      <c r="D47" t="s">
        <v>87</v>
      </c>
      <c r="E47" t="s">
        <v>72</v>
      </c>
      <c r="F47" t="s">
        <v>172</v>
      </c>
      <c r="G47" t="s">
        <v>16</v>
      </c>
      <c r="H47">
        <v>5</v>
      </c>
      <c r="I47">
        <v>9337.2199999999993</v>
      </c>
      <c r="J47">
        <v>0.1</v>
      </c>
      <c r="K47">
        <v>6050</v>
      </c>
      <c r="L47">
        <f>sales[[#This Row],[Quantity]]*sales[[#This Row],[UnitPrice]]</f>
        <v>46686.1</v>
      </c>
      <c r="M47">
        <f>sales[[#This Row],[GrossSales]]*sales[[#This Row],[DiscountRate]]</f>
        <v>4668.6099999999997</v>
      </c>
      <c r="N47">
        <f>sales[[#This Row],[GrossSales]]-sales[[#This Row],[DiscountAmount]]</f>
        <v>42017.49</v>
      </c>
      <c r="O47">
        <f>sales[[#This Row],[Quantity]]*sales[[#This Row],[UnitCostAtSale]]</f>
        <v>30250</v>
      </c>
      <c r="P47">
        <f>sales[[#This Row],[SalesAfterDiscount]]-sales[[#This Row],[CostOfGoodsSold]]</f>
        <v>11767.489999999998</v>
      </c>
      <c r="Q47">
        <f>IFERROR(sales[[#This Row],[GrossProfit]]/sales[[#This Row],[SalesAfterDiscount]],0)</f>
        <v>0.28006170763651039</v>
      </c>
    </row>
    <row r="48" spans="1:17">
      <c r="A48" t="s">
        <v>173</v>
      </c>
      <c r="B48" t="s">
        <v>174</v>
      </c>
      <c r="C48" s="1">
        <v>45960</v>
      </c>
      <c r="D48" t="s">
        <v>175</v>
      </c>
      <c r="E48" t="s">
        <v>50</v>
      </c>
      <c r="F48" t="s">
        <v>176</v>
      </c>
      <c r="G48" t="s">
        <v>16</v>
      </c>
      <c r="H48">
        <v>5</v>
      </c>
      <c r="I48">
        <v>2403.0700000000002</v>
      </c>
      <c r="J48">
        <v>0.05</v>
      </c>
      <c r="K48">
        <v>2000</v>
      </c>
      <c r="L48">
        <f>sales[[#This Row],[Quantity]]*sales[[#This Row],[UnitPrice]]</f>
        <v>12015.35</v>
      </c>
      <c r="M48">
        <f>sales[[#This Row],[GrossSales]]*sales[[#This Row],[DiscountRate]]</f>
        <v>600.76750000000004</v>
      </c>
      <c r="N48">
        <f>sales[[#This Row],[GrossSales]]-sales[[#This Row],[DiscountAmount]]</f>
        <v>11414.5825</v>
      </c>
      <c r="O48">
        <f>sales[[#This Row],[Quantity]]*sales[[#This Row],[UnitCostAtSale]]</f>
        <v>10000</v>
      </c>
      <c r="P48">
        <f>sales[[#This Row],[SalesAfterDiscount]]-sales[[#This Row],[CostOfGoodsSold]]</f>
        <v>1414.5825000000004</v>
      </c>
      <c r="Q48">
        <f>IFERROR(sales[[#This Row],[GrossProfit]]/sales[[#This Row],[SalesAfterDiscount]],0)</f>
        <v>0.12392766007867571</v>
      </c>
    </row>
    <row r="49" spans="1:17">
      <c r="A49" t="s">
        <v>177</v>
      </c>
      <c r="B49" t="s">
        <v>178</v>
      </c>
      <c r="C49" s="1">
        <v>45836</v>
      </c>
      <c r="D49" t="s">
        <v>49</v>
      </c>
      <c r="E49" t="s">
        <v>20</v>
      </c>
      <c r="F49" t="s">
        <v>156</v>
      </c>
      <c r="G49" t="s">
        <v>22</v>
      </c>
      <c r="H49">
        <v>5</v>
      </c>
      <c r="I49">
        <v>13787.88</v>
      </c>
      <c r="J49">
        <v>0.2</v>
      </c>
      <c r="K49">
        <v>9500</v>
      </c>
      <c r="L49">
        <f>sales[[#This Row],[Quantity]]*sales[[#This Row],[UnitPrice]]</f>
        <v>68939.399999999994</v>
      </c>
      <c r="M49">
        <f>sales[[#This Row],[GrossSales]]*sales[[#This Row],[DiscountRate]]</f>
        <v>13787.88</v>
      </c>
      <c r="N49">
        <f>sales[[#This Row],[GrossSales]]-sales[[#This Row],[DiscountAmount]]</f>
        <v>55151.519999999997</v>
      </c>
      <c r="O49">
        <f>sales[[#This Row],[Quantity]]*sales[[#This Row],[UnitCostAtSale]]</f>
        <v>47500</v>
      </c>
      <c r="P49">
        <f>sales[[#This Row],[SalesAfterDiscount]]-sales[[#This Row],[CostOfGoodsSold]]</f>
        <v>7651.5199999999968</v>
      </c>
      <c r="Q49">
        <f>IFERROR(sales[[#This Row],[GrossProfit]]/sales[[#This Row],[SalesAfterDiscount]],0)</f>
        <v>0.13873633945175032</v>
      </c>
    </row>
    <row r="50" spans="1:17">
      <c r="A50" t="s">
        <v>179</v>
      </c>
      <c r="B50" t="s">
        <v>180</v>
      </c>
      <c r="C50" s="1">
        <v>45951</v>
      </c>
      <c r="D50" t="s">
        <v>155</v>
      </c>
      <c r="E50" t="s">
        <v>46</v>
      </c>
      <c r="F50" t="s">
        <v>164</v>
      </c>
      <c r="G50" t="s">
        <v>16</v>
      </c>
      <c r="H50">
        <v>2</v>
      </c>
      <c r="I50">
        <v>17046.37</v>
      </c>
      <c r="J50">
        <v>0.15</v>
      </c>
      <c r="K50">
        <v>11700</v>
      </c>
      <c r="L50">
        <f>sales[[#This Row],[Quantity]]*sales[[#This Row],[UnitPrice]]</f>
        <v>34092.74</v>
      </c>
      <c r="M50">
        <f>sales[[#This Row],[GrossSales]]*sales[[#This Row],[DiscountRate]]</f>
        <v>5113.9109999999991</v>
      </c>
      <c r="N50">
        <f>sales[[#This Row],[GrossSales]]-sales[[#This Row],[DiscountAmount]]</f>
        <v>28978.828999999998</v>
      </c>
      <c r="O50">
        <f>sales[[#This Row],[Quantity]]*sales[[#This Row],[UnitCostAtSale]]</f>
        <v>23400</v>
      </c>
      <c r="P50">
        <f>sales[[#This Row],[SalesAfterDiscount]]-sales[[#This Row],[CostOfGoodsSold]]</f>
        <v>5578.8289999999979</v>
      </c>
      <c r="Q50">
        <f>IFERROR(sales[[#This Row],[GrossProfit]]/sales[[#This Row],[SalesAfterDiscount]],0)</f>
        <v>0.1925139556191176</v>
      </c>
    </row>
    <row r="51" spans="1:17">
      <c r="A51" t="s">
        <v>181</v>
      </c>
      <c r="B51" t="s">
        <v>182</v>
      </c>
      <c r="C51" s="1">
        <v>46110</v>
      </c>
      <c r="D51" t="s">
        <v>112</v>
      </c>
      <c r="E51" t="s">
        <v>46</v>
      </c>
      <c r="F51" t="s">
        <v>183</v>
      </c>
      <c r="G51" t="s">
        <v>22</v>
      </c>
      <c r="H51">
        <v>4</v>
      </c>
      <c r="I51">
        <v>10868.14</v>
      </c>
      <c r="J51">
        <v>0.05</v>
      </c>
      <c r="K51">
        <v>8850</v>
      </c>
      <c r="L51">
        <f>sales[[#This Row],[Quantity]]*sales[[#This Row],[UnitPrice]]</f>
        <v>43472.56</v>
      </c>
      <c r="M51">
        <f>sales[[#This Row],[GrossSales]]*sales[[#This Row],[DiscountRate]]</f>
        <v>2173.6280000000002</v>
      </c>
      <c r="N51">
        <f>sales[[#This Row],[GrossSales]]-sales[[#This Row],[DiscountAmount]]</f>
        <v>41298.932000000001</v>
      </c>
      <c r="O51">
        <f>sales[[#This Row],[Quantity]]*sales[[#This Row],[UnitCostAtSale]]</f>
        <v>35400</v>
      </c>
      <c r="P51">
        <f>sales[[#This Row],[SalesAfterDiscount]]-sales[[#This Row],[CostOfGoodsSold]]</f>
        <v>5898.9320000000007</v>
      </c>
      <c r="Q51">
        <f>IFERROR(sales[[#This Row],[GrossProfit]]/sales[[#This Row],[SalesAfterDiscount]],0)</f>
        <v>0.14283497694322944</v>
      </c>
    </row>
    <row r="52" spans="1:17">
      <c r="A52" t="s">
        <v>184</v>
      </c>
      <c r="B52" t="s">
        <v>185</v>
      </c>
      <c r="C52" s="1">
        <v>45744</v>
      </c>
      <c r="D52" t="s">
        <v>49</v>
      </c>
      <c r="E52" t="s">
        <v>46</v>
      </c>
      <c r="F52" t="s">
        <v>186</v>
      </c>
      <c r="G52" t="s">
        <v>22</v>
      </c>
      <c r="H52">
        <v>3</v>
      </c>
      <c r="I52">
        <v>13787.88</v>
      </c>
      <c r="J52">
        <v>0.2</v>
      </c>
      <c r="K52">
        <v>9500</v>
      </c>
      <c r="L52">
        <f>sales[[#This Row],[Quantity]]*sales[[#This Row],[UnitPrice]]</f>
        <v>41363.64</v>
      </c>
      <c r="M52">
        <f>sales[[#This Row],[GrossSales]]*sales[[#This Row],[DiscountRate]]</f>
        <v>8272.728000000001</v>
      </c>
      <c r="N52">
        <f>sales[[#This Row],[GrossSales]]-sales[[#This Row],[DiscountAmount]]</f>
        <v>33090.911999999997</v>
      </c>
      <c r="O52">
        <f>sales[[#This Row],[Quantity]]*sales[[#This Row],[UnitCostAtSale]]</f>
        <v>28500</v>
      </c>
      <c r="P52">
        <f>sales[[#This Row],[SalesAfterDiscount]]-sales[[#This Row],[CostOfGoodsSold]]</f>
        <v>4590.9119999999966</v>
      </c>
      <c r="Q52">
        <f>IFERROR(sales[[#This Row],[GrossProfit]]/sales[[#This Row],[SalesAfterDiscount]],0)</f>
        <v>0.13873633945175029</v>
      </c>
    </row>
    <row r="53" spans="1:17">
      <c r="A53" t="s">
        <v>187</v>
      </c>
      <c r="B53" t="s">
        <v>188</v>
      </c>
      <c r="C53" s="1">
        <v>45898</v>
      </c>
      <c r="D53" t="s">
        <v>126</v>
      </c>
      <c r="E53" t="s">
        <v>50</v>
      </c>
      <c r="F53" t="s">
        <v>189</v>
      </c>
      <c r="G53" t="s">
        <v>22</v>
      </c>
      <c r="H53">
        <v>3</v>
      </c>
      <c r="I53">
        <v>17523.439999999999</v>
      </c>
      <c r="J53">
        <v>0.05</v>
      </c>
      <c r="K53">
        <v>11850</v>
      </c>
      <c r="L53">
        <f>sales[[#This Row],[Quantity]]*sales[[#This Row],[UnitPrice]]</f>
        <v>52570.319999999992</v>
      </c>
      <c r="M53">
        <f>sales[[#This Row],[GrossSales]]*sales[[#This Row],[DiscountRate]]</f>
        <v>2628.5159999999996</v>
      </c>
      <c r="N53">
        <f>sales[[#This Row],[GrossSales]]-sales[[#This Row],[DiscountAmount]]</f>
        <v>49941.803999999989</v>
      </c>
      <c r="O53">
        <f>sales[[#This Row],[Quantity]]*sales[[#This Row],[UnitCostAtSale]]</f>
        <v>35550</v>
      </c>
      <c r="P53">
        <f>sales[[#This Row],[SalesAfterDiscount]]-sales[[#This Row],[CostOfGoodsSold]]</f>
        <v>14391.803999999989</v>
      </c>
      <c r="Q53">
        <f>IFERROR(sales[[#This Row],[GrossProfit]]/sales[[#This Row],[SalesAfterDiscount]],0)</f>
        <v>0.28817148855896341</v>
      </c>
    </row>
    <row r="54" spans="1:17">
      <c r="A54" t="s">
        <v>190</v>
      </c>
      <c r="B54" t="s">
        <v>191</v>
      </c>
      <c r="C54" s="1">
        <v>45908</v>
      </c>
      <c r="D54" t="s">
        <v>60</v>
      </c>
      <c r="E54" t="s">
        <v>14</v>
      </c>
      <c r="F54" t="s">
        <v>152</v>
      </c>
      <c r="G54" t="s">
        <v>16</v>
      </c>
      <c r="H54">
        <v>4</v>
      </c>
      <c r="I54">
        <v>9389.4699999999993</v>
      </c>
      <c r="J54">
        <v>0.2</v>
      </c>
      <c r="K54">
        <v>7250</v>
      </c>
      <c r="L54">
        <f>sales[[#This Row],[Quantity]]*sales[[#This Row],[UnitPrice]]</f>
        <v>37557.879999999997</v>
      </c>
      <c r="M54">
        <f>sales[[#This Row],[GrossSales]]*sales[[#This Row],[DiscountRate]]</f>
        <v>7511.576</v>
      </c>
      <c r="N54">
        <f>sales[[#This Row],[GrossSales]]-sales[[#This Row],[DiscountAmount]]</f>
        <v>30046.303999999996</v>
      </c>
      <c r="O54">
        <f>sales[[#This Row],[Quantity]]*sales[[#This Row],[UnitCostAtSale]]</f>
        <v>29000</v>
      </c>
      <c r="P54">
        <f>sales[[#This Row],[SalesAfterDiscount]]-sales[[#This Row],[CostOfGoodsSold]]</f>
        <v>1046.3039999999964</v>
      </c>
      <c r="Q54">
        <f>IFERROR(sales[[#This Row],[GrossProfit]]/sales[[#This Row],[SalesAfterDiscount]],0)</f>
        <v>3.4823051780345317E-2</v>
      </c>
    </row>
    <row r="55" spans="1:17">
      <c r="A55" t="s">
        <v>192</v>
      </c>
      <c r="B55" t="s">
        <v>193</v>
      </c>
      <c r="C55" s="1">
        <v>45857</v>
      </c>
      <c r="D55" t="s">
        <v>45</v>
      </c>
      <c r="E55" t="s">
        <v>72</v>
      </c>
      <c r="F55" t="s">
        <v>92</v>
      </c>
      <c r="G55" t="s">
        <v>22</v>
      </c>
      <c r="H55">
        <v>4</v>
      </c>
      <c r="I55">
        <v>11889.76</v>
      </c>
      <c r="J55">
        <v>0.15</v>
      </c>
      <c r="K55">
        <v>9300</v>
      </c>
      <c r="L55">
        <f>sales[[#This Row],[Quantity]]*sales[[#This Row],[UnitPrice]]</f>
        <v>47559.040000000001</v>
      </c>
      <c r="M55">
        <f>sales[[#This Row],[GrossSales]]*sales[[#This Row],[DiscountRate]]</f>
        <v>7133.8559999999998</v>
      </c>
      <c r="N55">
        <f>sales[[#This Row],[GrossSales]]-sales[[#This Row],[DiscountAmount]]</f>
        <v>40425.184000000001</v>
      </c>
      <c r="O55">
        <f>sales[[#This Row],[Quantity]]*sales[[#This Row],[UnitCostAtSale]]</f>
        <v>37200</v>
      </c>
      <c r="P55">
        <f>sales[[#This Row],[SalesAfterDiscount]]-sales[[#This Row],[CostOfGoodsSold]]</f>
        <v>3225.1840000000011</v>
      </c>
      <c r="Q55">
        <f>IFERROR(sales[[#This Row],[GrossProfit]]/sales[[#This Row],[SalesAfterDiscount]],0)</f>
        <v>7.9781553993668916E-2</v>
      </c>
    </row>
    <row r="56" spans="1:17">
      <c r="A56" t="s">
        <v>194</v>
      </c>
      <c r="B56" t="s">
        <v>195</v>
      </c>
      <c r="C56" s="1">
        <v>45663</v>
      </c>
      <c r="D56" t="s">
        <v>130</v>
      </c>
      <c r="E56" t="s">
        <v>50</v>
      </c>
      <c r="F56" t="s">
        <v>196</v>
      </c>
      <c r="G56" t="s">
        <v>16</v>
      </c>
      <c r="H56">
        <v>1</v>
      </c>
      <c r="I56">
        <v>12166.11</v>
      </c>
      <c r="J56">
        <v>0.15</v>
      </c>
      <c r="K56">
        <v>7750</v>
      </c>
      <c r="L56">
        <f>sales[[#This Row],[Quantity]]*sales[[#This Row],[UnitPrice]]</f>
        <v>12166.11</v>
      </c>
      <c r="M56">
        <f>sales[[#This Row],[GrossSales]]*sales[[#This Row],[DiscountRate]]</f>
        <v>1824.9165</v>
      </c>
      <c r="N56">
        <f>sales[[#This Row],[GrossSales]]-sales[[#This Row],[DiscountAmount]]</f>
        <v>10341.193500000001</v>
      </c>
      <c r="O56">
        <f>sales[[#This Row],[Quantity]]*sales[[#This Row],[UnitCostAtSale]]</f>
        <v>7750</v>
      </c>
      <c r="P56">
        <f>sales[[#This Row],[SalesAfterDiscount]]-sales[[#This Row],[CostOfGoodsSold]]</f>
        <v>2591.1935000000012</v>
      </c>
      <c r="Q56">
        <f>IFERROR(sales[[#This Row],[GrossProfit]]/sales[[#This Row],[SalesAfterDiscount]],0)</f>
        <v>0.25057006234338436</v>
      </c>
    </row>
    <row r="57" spans="1:17">
      <c r="A57" t="s">
        <v>197</v>
      </c>
      <c r="B57" t="s">
        <v>198</v>
      </c>
      <c r="C57" s="1">
        <v>45913</v>
      </c>
      <c r="D57" t="s">
        <v>60</v>
      </c>
      <c r="E57" t="s">
        <v>50</v>
      </c>
      <c r="F57" t="s">
        <v>199</v>
      </c>
      <c r="G57" t="s">
        <v>16</v>
      </c>
      <c r="H57">
        <v>1</v>
      </c>
      <c r="I57">
        <v>9389.4699999999993</v>
      </c>
      <c r="J57">
        <v>0.15</v>
      </c>
      <c r="K57">
        <v>7250</v>
      </c>
      <c r="L57">
        <f>sales[[#This Row],[Quantity]]*sales[[#This Row],[UnitPrice]]</f>
        <v>9389.4699999999993</v>
      </c>
      <c r="M57">
        <f>sales[[#This Row],[GrossSales]]*sales[[#This Row],[DiscountRate]]</f>
        <v>1408.4204999999999</v>
      </c>
      <c r="N57">
        <f>sales[[#This Row],[GrossSales]]-sales[[#This Row],[DiscountAmount]]</f>
        <v>7981.0494999999992</v>
      </c>
      <c r="O57">
        <f>sales[[#This Row],[Quantity]]*sales[[#This Row],[UnitCostAtSale]]</f>
        <v>7250</v>
      </c>
      <c r="P57">
        <f>sales[[#This Row],[SalesAfterDiscount]]-sales[[#This Row],[CostOfGoodsSold]]</f>
        <v>731.04949999999917</v>
      </c>
      <c r="Q57">
        <f>IFERROR(sales[[#This Row],[GrossProfit]]/sales[[#This Row],[SalesAfterDiscount]],0)</f>
        <v>9.1598166381501492E-2</v>
      </c>
    </row>
    <row r="58" spans="1:17">
      <c r="A58" t="s">
        <v>200</v>
      </c>
      <c r="B58" t="s">
        <v>201</v>
      </c>
      <c r="C58" s="1">
        <v>46111</v>
      </c>
      <c r="D58" t="s">
        <v>202</v>
      </c>
      <c r="E58" t="s">
        <v>72</v>
      </c>
      <c r="F58" t="s">
        <v>203</v>
      </c>
      <c r="G58" t="s">
        <v>16</v>
      </c>
      <c r="H58">
        <v>5</v>
      </c>
      <c r="I58">
        <v>3559.5</v>
      </c>
      <c r="J58">
        <v>0.2</v>
      </c>
      <c r="K58">
        <v>2250</v>
      </c>
      <c r="L58">
        <f>sales[[#This Row],[Quantity]]*sales[[#This Row],[UnitPrice]]</f>
        <v>17797.5</v>
      </c>
      <c r="M58">
        <f>sales[[#This Row],[GrossSales]]*sales[[#This Row],[DiscountRate]]</f>
        <v>3559.5</v>
      </c>
      <c r="N58">
        <f>sales[[#This Row],[GrossSales]]-sales[[#This Row],[DiscountAmount]]</f>
        <v>14238</v>
      </c>
      <c r="O58">
        <f>sales[[#This Row],[Quantity]]*sales[[#This Row],[UnitCostAtSale]]</f>
        <v>11250</v>
      </c>
      <c r="P58">
        <f>sales[[#This Row],[SalesAfterDiscount]]-sales[[#This Row],[CostOfGoodsSold]]</f>
        <v>2988</v>
      </c>
      <c r="Q58">
        <f>IFERROR(sales[[#This Row],[GrossProfit]]/sales[[#This Row],[SalesAfterDiscount]],0)</f>
        <v>0.20986093552465235</v>
      </c>
    </row>
    <row r="59" spans="1:17">
      <c r="A59" t="s">
        <v>204</v>
      </c>
      <c r="B59" t="s">
        <v>205</v>
      </c>
      <c r="C59" s="1">
        <v>45820</v>
      </c>
      <c r="D59" t="s">
        <v>45</v>
      </c>
      <c r="E59" t="s">
        <v>20</v>
      </c>
      <c r="F59" t="s">
        <v>206</v>
      </c>
      <c r="G59" t="s">
        <v>22</v>
      </c>
      <c r="H59">
        <v>4</v>
      </c>
      <c r="I59">
        <v>11889.76</v>
      </c>
      <c r="J59">
        <v>0.15</v>
      </c>
      <c r="K59">
        <v>9300</v>
      </c>
      <c r="L59">
        <f>sales[[#This Row],[Quantity]]*sales[[#This Row],[UnitPrice]]</f>
        <v>47559.040000000001</v>
      </c>
      <c r="M59">
        <f>sales[[#This Row],[GrossSales]]*sales[[#This Row],[DiscountRate]]</f>
        <v>7133.8559999999998</v>
      </c>
      <c r="N59">
        <f>sales[[#This Row],[GrossSales]]-sales[[#This Row],[DiscountAmount]]</f>
        <v>40425.184000000001</v>
      </c>
      <c r="O59">
        <f>sales[[#This Row],[Quantity]]*sales[[#This Row],[UnitCostAtSale]]</f>
        <v>37200</v>
      </c>
      <c r="P59">
        <f>sales[[#This Row],[SalesAfterDiscount]]-sales[[#This Row],[CostOfGoodsSold]]</f>
        <v>3225.1840000000011</v>
      </c>
      <c r="Q59">
        <f>IFERROR(sales[[#This Row],[GrossProfit]]/sales[[#This Row],[SalesAfterDiscount]],0)</f>
        <v>7.9781553993668916E-2</v>
      </c>
    </row>
    <row r="60" spans="1:17">
      <c r="A60" t="s">
        <v>207</v>
      </c>
      <c r="B60" t="s">
        <v>208</v>
      </c>
      <c r="C60" s="1">
        <v>45941</v>
      </c>
      <c r="D60" t="s">
        <v>126</v>
      </c>
      <c r="E60" t="s">
        <v>50</v>
      </c>
      <c r="F60" t="s">
        <v>65</v>
      </c>
      <c r="G60" t="s">
        <v>16</v>
      </c>
      <c r="H60">
        <v>5</v>
      </c>
      <c r="I60">
        <v>17523.439999999999</v>
      </c>
      <c r="J60">
        <v>0.15</v>
      </c>
      <c r="K60">
        <v>11850</v>
      </c>
      <c r="L60">
        <f>sales[[#This Row],[Quantity]]*sales[[#This Row],[UnitPrice]]</f>
        <v>87617.2</v>
      </c>
      <c r="M60">
        <f>sales[[#This Row],[GrossSales]]*sales[[#This Row],[DiscountRate]]</f>
        <v>13142.58</v>
      </c>
      <c r="N60">
        <f>sales[[#This Row],[GrossSales]]-sales[[#This Row],[DiscountAmount]]</f>
        <v>74474.62</v>
      </c>
      <c r="O60">
        <f>sales[[#This Row],[Quantity]]*sales[[#This Row],[UnitCostAtSale]]</f>
        <v>59250</v>
      </c>
      <c r="P60">
        <f>sales[[#This Row],[SalesAfterDiscount]]-sales[[#This Row],[CostOfGoodsSold]]</f>
        <v>15224.619999999995</v>
      </c>
      <c r="Q60">
        <f>IFERROR(sales[[#This Row],[GrossProfit]]/sales[[#This Row],[SalesAfterDiscount]],0)</f>
        <v>0.20442695780119449</v>
      </c>
    </row>
    <row r="61" spans="1:17">
      <c r="A61" t="s">
        <v>209</v>
      </c>
      <c r="B61" t="s">
        <v>210</v>
      </c>
      <c r="C61" s="1">
        <v>45950</v>
      </c>
      <c r="D61" t="s">
        <v>71</v>
      </c>
      <c r="E61" t="s">
        <v>20</v>
      </c>
      <c r="F61" t="s">
        <v>169</v>
      </c>
      <c r="G61" t="s">
        <v>22</v>
      </c>
      <c r="H61">
        <v>2</v>
      </c>
      <c r="I61">
        <v>5799.34</v>
      </c>
      <c r="J61">
        <v>0.1</v>
      </c>
      <c r="K61">
        <v>3800</v>
      </c>
      <c r="L61">
        <f>sales[[#This Row],[Quantity]]*sales[[#This Row],[UnitPrice]]</f>
        <v>11598.68</v>
      </c>
      <c r="M61">
        <f>sales[[#This Row],[GrossSales]]*sales[[#This Row],[DiscountRate]]</f>
        <v>1159.8680000000002</v>
      </c>
      <c r="N61">
        <f>sales[[#This Row],[GrossSales]]-sales[[#This Row],[DiscountAmount]]</f>
        <v>10438.812</v>
      </c>
      <c r="O61">
        <f>sales[[#This Row],[Quantity]]*sales[[#This Row],[UnitCostAtSale]]</f>
        <v>7600</v>
      </c>
      <c r="P61">
        <f>sales[[#This Row],[SalesAfterDiscount]]-sales[[#This Row],[CostOfGoodsSold]]</f>
        <v>2838.8119999999999</v>
      </c>
      <c r="Q61">
        <f>IFERROR(sales[[#This Row],[GrossProfit]]/sales[[#This Row],[SalesAfterDiscount]],0)</f>
        <v>0.27194780402214352</v>
      </c>
    </row>
    <row r="62" spans="1:17">
      <c r="A62" t="s">
        <v>211</v>
      </c>
      <c r="B62" t="s">
        <v>212</v>
      </c>
      <c r="C62" s="1">
        <v>45812</v>
      </c>
      <c r="D62" t="s">
        <v>29</v>
      </c>
      <c r="E62" t="s">
        <v>50</v>
      </c>
      <c r="F62" t="s">
        <v>131</v>
      </c>
      <c r="G62" t="s">
        <v>22</v>
      </c>
      <c r="H62">
        <v>2</v>
      </c>
      <c r="I62">
        <v>13204.06</v>
      </c>
      <c r="J62">
        <v>0.15</v>
      </c>
      <c r="K62">
        <v>11050</v>
      </c>
      <c r="L62">
        <f>sales[[#This Row],[Quantity]]*sales[[#This Row],[UnitPrice]]</f>
        <v>26408.12</v>
      </c>
      <c r="M62">
        <f>sales[[#This Row],[GrossSales]]*sales[[#This Row],[DiscountRate]]</f>
        <v>3961.2179999999998</v>
      </c>
      <c r="N62">
        <f>sales[[#This Row],[GrossSales]]-sales[[#This Row],[DiscountAmount]]</f>
        <v>22446.901999999998</v>
      </c>
      <c r="O62">
        <f>sales[[#This Row],[Quantity]]*sales[[#This Row],[UnitCostAtSale]]</f>
        <v>22100</v>
      </c>
      <c r="P62">
        <f>sales[[#This Row],[SalesAfterDiscount]]-sales[[#This Row],[CostOfGoodsSold]]</f>
        <v>346.90199999999822</v>
      </c>
      <c r="Q62">
        <f>IFERROR(sales[[#This Row],[GrossProfit]]/sales[[#This Row],[SalesAfterDiscount]],0)</f>
        <v>1.5454337529517359E-2</v>
      </c>
    </row>
    <row r="63" spans="1:17">
      <c r="A63" t="s">
        <v>213</v>
      </c>
      <c r="B63" t="s">
        <v>214</v>
      </c>
      <c r="C63" s="1">
        <v>46082</v>
      </c>
      <c r="D63" t="s">
        <v>71</v>
      </c>
      <c r="E63" t="s">
        <v>46</v>
      </c>
      <c r="F63" t="s">
        <v>199</v>
      </c>
      <c r="G63" t="s">
        <v>16</v>
      </c>
      <c r="H63">
        <v>4</v>
      </c>
      <c r="I63">
        <v>5799.34</v>
      </c>
      <c r="J63">
        <v>0.1</v>
      </c>
      <c r="K63">
        <v>3800</v>
      </c>
      <c r="L63">
        <f>sales[[#This Row],[Quantity]]*sales[[#This Row],[UnitPrice]]</f>
        <v>23197.360000000001</v>
      </c>
      <c r="M63">
        <f>sales[[#This Row],[GrossSales]]*sales[[#This Row],[DiscountRate]]</f>
        <v>2319.7360000000003</v>
      </c>
      <c r="N63">
        <f>sales[[#This Row],[GrossSales]]-sales[[#This Row],[DiscountAmount]]</f>
        <v>20877.624</v>
      </c>
      <c r="O63">
        <f>sales[[#This Row],[Quantity]]*sales[[#This Row],[UnitCostAtSale]]</f>
        <v>15200</v>
      </c>
      <c r="P63">
        <f>sales[[#This Row],[SalesAfterDiscount]]-sales[[#This Row],[CostOfGoodsSold]]</f>
        <v>5677.6239999999998</v>
      </c>
      <c r="Q63">
        <f>IFERROR(sales[[#This Row],[GrossProfit]]/sales[[#This Row],[SalesAfterDiscount]],0)</f>
        <v>0.27194780402214352</v>
      </c>
    </row>
    <row r="64" spans="1:17">
      <c r="A64" t="s">
        <v>215</v>
      </c>
      <c r="B64" t="s">
        <v>216</v>
      </c>
      <c r="C64" s="1">
        <v>45869</v>
      </c>
      <c r="D64" t="s">
        <v>60</v>
      </c>
      <c r="E64" t="s">
        <v>46</v>
      </c>
      <c r="F64" t="s">
        <v>217</v>
      </c>
      <c r="G64" t="s">
        <v>22</v>
      </c>
      <c r="H64">
        <v>4</v>
      </c>
      <c r="I64">
        <v>9389.4699999999993</v>
      </c>
      <c r="J64">
        <v>0.15</v>
      </c>
      <c r="K64">
        <v>7250</v>
      </c>
      <c r="L64">
        <f>sales[[#This Row],[Quantity]]*sales[[#This Row],[UnitPrice]]</f>
        <v>37557.879999999997</v>
      </c>
      <c r="M64">
        <f>sales[[#This Row],[GrossSales]]*sales[[#This Row],[DiscountRate]]</f>
        <v>5633.6819999999998</v>
      </c>
      <c r="N64">
        <f>sales[[#This Row],[GrossSales]]-sales[[#This Row],[DiscountAmount]]</f>
        <v>31924.197999999997</v>
      </c>
      <c r="O64">
        <f>sales[[#This Row],[Quantity]]*sales[[#This Row],[UnitCostAtSale]]</f>
        <v>29000</v>
      </c>
      <c r="P64">
        <f>sales[[#This Row],[SalesAfterDiscount]]-sales[[#This Row],[CostOfGoodsSold]]</f>
        <v>2924.1979999999967</v>
      </c>
      <c r="Q64">
        <f>IFERROR(sales[[#This Row],[GrossProfit]]/sales[[#This Row],[SalesAfterDiscount]],0)</f>
        <v>9.1598166381501492E-2</v>
      </c>
    </row>
    <row r="65" spans="1:17">
      <c r="A65" t="s">
        <v>218</v>
      </c>
      <c r="B65" t="s">
        <v>219</v>
      </c>
      <c r="C65" s="1">
        <v>46047</v>
      </c>
      <c r="D65" t="s">
        <v>76</v>
      </c>
      <c r="E65" t="s">
        <v>20</v>
      </c>
      <c r="F65" t="s">
        <v>220</v>
      </c>
      <c r="G65" t="s">
        <v>16</v>
      </c>
      <c r="H65">
        <v>4</v>
      </c>
      <c r="I65">
        <v>11999.07</v>
      </c>
      <c r="J65">
        <v>0</v>
      </c>
      <c r="K65">
        <v>9550</v>
      </c>
      <c r="L65">
        <f>sales[[#This Row],[Quantity]]*sales[[#This Row],[UnitPrice]]</f>
        <v>47996.28</v>
      </c>
      <c r="M65">
        <f>sales[[#This Row],[GrossSales]]*sales[[#This Row],[DiscountRate]]</f>
        <v>0</v>
      </c>
      <c r="N65">
        <f>sales[[#This Row],[GrossSales]]-sales[[#This Row],[DiscountAmount]]</f>
        <v>47996.28</v>
      </c>
      <c r="O65">
        <f>sales[[#This Row],[Quantity]]*sales[[#This Row],[UnitCostAtSale]]</f>
        <v>38200</v>
      </c>
      <c r="P65">
        <f>sales[[#This Row],[SalesAfterDiscount]]-sales[[#This Row],[CostOfGoodsSold]]</f>
        <v>9796.2799999999988</v>
      </c>
      <c r="Q65">
        <f>IFERROR(sales[[#This Row],[GrossProfit]]/sales[[#This Row],[SalesAfterDiscount]],0)</f>
        <v>0.20410498480298889</v>
      </c>
    </row>
    <row r="66" spans="1:17">
      <c r="A66" t="s">
        <v>221</v>
      </c>
      <c r="B66" t="s">
        <v>222</v>
      </c>
      <c r="C66" s="1">
        <v>46087</v>
      </c>
      <c r="D66" t="s">
        <v>76</v>
      </c>
      <c r="E66" t="s">
        <v>46</v>
      </c>
      <c r="F66" t="s">
        <v>223</v>
      </c>
      <c r="G66" t="s">
        <v>16</v>
      </c>
      <c r="H66">
        <v>5</v>
      </c>
      <c r="I66">
        <v>11999.07</v>
      </c>
      <c r="J66">
        <v>0.2</v>
      </c>
      <c r="K66">
        <v>9550</v>
      </c>
      <c r="L66">
        <f>sales[[#This Row],[Quantity]]*sales[[#This Row],[UnitPrice]]</f>
        <v>59995.35</v>
      </c>
      <c r="M66">
        <f>sales[[#This Row],[GrossSales]]*sales[[#This Row],[DiscountRate]]</f>
        <v>11999.07</v>
      </c>
      <c r="N66">
        <f>sales[[#This Row],[GrossSales]]-sales[[#This Row],[DiscountAmount]]</f>
        <v>47996.28</v>
      </c>
      <c r="O66">
        <f>sales[[#This Row],[Quantity]]*sales[[#This Row],[UnitCostAtSale]]</f>
        <v>47750</v>
      </c>
      <c r="P66">
        <f>sales[[#This Row],[SalesAfterDiscount]]-sales[[#This Row],[CostOfGoodsSold]]</f>
        <v>246.27999999999884</v>
      </c>
      <c r="Q66">
        <f>IFERROR(sales[[#This Row],[GrossProfit]]/sales[[#This Row],[SalesAfterDiscount]],0)</f>
        <v>5.1312310037360991E-3</v>
      </c>
    </row>
    <row r="67" spans="1:17">
      <c r="A67" t="s">
        <v>224</v>
      </c>
      <c r="B67" t="s">
        <v>225</v>
      </c>
      <c r="C67" s="1">
        <v>45937</v>
      </c>
      <c r="D67" t="s">
        <v>25</v>
      </c>
      <c r="E67" t="s">
        <v>14</v>
      </c>
      <c r="F67" t="s">
        <v>226</v>
      </c>
      <c r="G67" t="s">
        <v>16</v>
      </c>
      <c r="H67">
        <v>4</v>
      </c>
      <c r="I67">
        <v>18592.419999999998</v>
      </c>
      <c r="J67">
        <v>0.15</v>
      </c>
      <c r="K67">
        <v>14600</v>
      </c>
      <c r="L67">
        <f>sales[[#This Row],[Quantity]]*sales[[#This Row],[UnitPrice]]</f>
        <v>74369.679999999993</v>
      </c>
      <c r="M67">
        <f>sales[[#This Row],[GrossSales]]*sales[[#This Row],[DiscountRate]]</f>
        <v>11155.451999999999</v>
      </c>
      <c r="N67">
        <f>sales[[#This Row],[GrossSales]]-sales[[#This Row],[DiscountAmount]]</f>
        <v>63214.227999999996</v>
      </c>
      <c r="O67">
        <f>sales[[#This Row],[Quantity]]*sales[[#This Row],[UnitCostAtSale]]</f>
        <v>58400</v>
      </c>
      <c r="P67">
        <f>sales[[#This Row],[SalesAfterDiscount]]-sales[[#This Row],[CostOfGoodsSold]]</f>
        <v>4814.2279999999955</v>
      </c>
      <c r="Q67">
        <f>IFERROR(sales[[#This Row],[GrossProfit]]/sales[[#This Row],[SalesAfterDiscount]],0)</f>
        <v>7.6157348627274163E-2</v>
      </c>
    </row>
    <row r="68" spans="1:17">
      <c r="A68" t="s">
        <v>227</v>
      </c>
      <c r="B68" t="s">
        <v>228</v>
      </c>
      <c r="C68" s="1">
        <v>46072</v>
      </c>
      <c r="D68" t="s">
        <v>49</v>
      </c>
      <c r="E68" t="s">
        <v>50</v>
      </c>
      <c r="F68" t="s">
        <v>142</v>
      </c>
      <c r="G68" t="s">
        <v>22</v>
      </c>
      <c r="H68">
        <v>2</v>
      </c>
      <c r="I68">
        <v>13787.88</v>
      </c>
      <c r="J68">
        <v>0.15</v>
      </c>
      <c r="K68">
        <v>9500</v>
      </c>
      <c r="L68">
        <f>sales[[#This Row],[Quantity]]*sales[[#This Row],[UnitPrice]]</f>
        <v>27575.759999999998</v>
      </c>
      <c r="M68">
        <f>sales[[#This Row],[GrossSales]]*sales[[#This Row],[DiscountRate]]</f>
        <v>4136.3639999999996</v>
      </c>
      <c r="N68">
        <f>sales[[#This Row],[GrossSales]]-sales[[#This Row],[DiscountAmount]]</f>
        <v>23439.396000000001</v>
      </c>
      <c r="O68">
        <f>sales[[#This Row],[Quantity]]*sales[[#This Row],[UnitCostAtSale]]</f>
        <v>19000</v>
      </c>
      <c r="P68">
        <f>sales[[#This Row],[SalesAfterDiscount]]-sales[[#This Row],[CostOfGoodsSold]]</f>
        <v>4439.3960000000006</v>
      </c>
      <c r="Q68">
        <f>IFERROR(sales[[#This Row],[GrossProfit]]/sales[[#This Row],[SalesAfterDiscount]],0)</f>
        <v>0.18939890771929449</v>
      </c>
    </row>
    <row r="69" spans="1:17">
      <c r="A69" t="s">
        <v>229</v>
      </c>
      <c r="B69" t="s">
        <v>230</v>
      </c>
      <c r="C69" s="1">
        <v>46061</v>
      </c>
      <c r="D69" t="s">
        <v>99</v>
      </c>
      <c r="E69" t="s">
        <v>14</v>
      </c>
      <c r="F69" t="s">
        <v>231</v>
      </c>
      <c r="G69" t="s">
        <v>16</v>
      </c>
      <c r="H69">
        <v>5</v>
      </c>
      <c r="I69">
        <v>10644.48</v>
      </c>
      <c r="J69">
        <v>0.2</v>
      </c>
      <c r="K69">
        <v>7050</v>
      </c>
      <c r="L69">
        <f>sales[[#This Row],[Quantity]]*sales[[#This Row],[UnitPrice]]</f>
        <v>53222.399999999994</v>
      </c>
      <c r="M69">
        <f>sales[[#This Row],[GrossSales]]*sales[[#This Row],[DiscountRate]]</f>
        <v>10644.48</v>
      </c>
      <c r="N69">
        <f>sales[[#This Row],[GrossSales]]-sales[[#This Row],[DiscountAmount]]</f>
        <v>42577.919999999998</v>
      </c>
      <c r="O69">
        <f>sales[[#This Row],[Quantity]]*sales[[#This Row],[UnitCostAtSale]]</f>
        <v>35250</v>
      </c>
      <c r="P69">
        <f>sales[[#This Row],[SalesAfterDiscount]]-sales[[#This Row],[CostOfGoodsSold]]</f>
        <v>7327.9199999999983</v>
      </c>
      <c r="Q69">
        <f>IFERROR(sales[[#This Row],[GrossProfit]]/sales[[#This Row],[SalesAfterDiscount]],0)</f>
        <v>0.17210610569985565</v>
      </c>
    </row>
    <row r="70" spans="1:17">
      <c r="A70" t="s">
        <v>232</v>
      </c>
      <c r="B70" t="s">
        <v>233</v>
      </c>
      <c r="C70" s="1">
        <v>46130</v>
      </c>
      <c r="D70" t="s">
        <v>29</v>
      </c>
      <c r="E70" t="s">
        <v>20</v>
      </c>
      <c r="F70" t="s">
        <v>234</v>
      </c>
      <c r="G70" t="s">
        <v>16</v>
      </c>
      <c r="H70">
        <v>2</v>
      </c>
      <c r="I70">
        <v>13204.06</v>
      </c>
      <c r="J70">
        <v>0</v>
      </c>
      <c r="K70">
        <v>11050</v>
      </c>
      <c r="L70">
        <f>sales[[#This Row],[Quantity]]*sales[[#This Row],[UnitPrice]]</f>
        <v>26408.12</v>
      </c>
      <c r="M70">
        <f>sales[[#This Row],[GrossSales]]*sales[[#This Row],[DiscountRate]]</f>
        <v>0</v>
      </c>
      <c r="N70">
        <f>sales[[#This Row],[GrossSales]]-sales[[#This Row],[DiscountAmount]]</f>
        <v>26408.12</v>
      </c>
      <c r="O70">
        <f>sales[[#This Row],[Quantity]]*sales[[#This Row],[UnitCostAtSale]]</f>
        <v>22100</v>
      </c>
      <c r="P70">
        <f>sales[[#This Row],[SalesAfterDiscount]]-sales[[#This Row],[CostOfGoodsSold]]</f>
        <v>4308.119999999999</v>
      </c>
      <c r="Q70">
        <f>IFERROR(sales[[#This Row],[GrossProfit]]/sales[[#This Row],[SalesAfterDiscount]],0)</f>
        <v>0.1631361869000898</v>
      </c>
    </row>
    <row r="71" spans="1:17">
      <c r="A71" t="s">
        <v>235</v>
      </c>
      <c r="B71" t="s">
        <v>236</v>
      </c>
      <c r="C71" s="1">
        <v>46123</v>
      </c>
      <c r="D71" t="s">
        <v>33</v>
      </c>
      <c r="E71" t="s">
        <v>72</v>
      </c>
      <c r="F71" t="s">
        <v>65</v>
      </c>
      <c r="G71" t="s">
        <v>16</v>
      </c>
      <c r="H71">
        <v>3</v>
      </c>
      <c r="I71">
        <v>19237.78</v>
      </c>
      <c r="J71">
        <v>0.1</v>
      </c>
      <c r="K71">
        <v>13150</v>
      </c>
      <c r="L71">
        <f>sales[[#This Row],[Quantity]]*sales[[#This Row],[UnitPrice]]</f>
        <v>57713.34</v>
      </c>
      <c r="M71">
        <f>sales[[#This Row],[GrossSales]]*sales[[#This Row],[DiscountRate]]</f>
        <v>5771.3339999999998</v>
      </c>
      <c r="N71">
        <f>sales[[#This Row],[GrossSales]]-sales[[#This Row],[DiscountAmount]]</f>
        <v>51942.005999999994</v>
      </c>
      <c r="O71">
        <f>sales[[#This Row],[Quantity]]*sales[[#This Row],[UnitCostAtSale]]</f>
        <v>39450</v>
      </c>
      <c r="P71">
        <f>sales[[#This Row],[SalesAfterDiscount]]-sales[[#This Row],[CostOfGoodsSold]]</f>
        <v>12492.005999999994</v>
      </c>
      <c r="Q71">
        <f>IFERROR(sales[[#This Row],[GrossProfit]]/sales[[#This Row],[SalesAfterDiscount]],0)</f>
        <v>0.24049910586818682</v>
      </c>
    </row>
    <row r="72" spans="1:17">
      <c r="A72" t="s">
        <v>237</v>
      </c>
      <c r="B72" t="s">
        <v>238</v>
      </c>
      <c r="C72" s="1">
        <v>45741</v>
      </c>
      <c r="D72" t="s">
        <v>80</v>
      </c>
      <c r="E72" t="s">
        <v>46</v>
      </c>
      <c r="F72" t="s">
        <v>68</v>
      </c>
      <c r="G72" t="s">
        <v>16</v>
      </c>
      <c r="H72">
        <v>4</v>
      </c>
      <c r="I72">
        <v>19555.88</v>
      </c>
      <c r="J72">
        <v>0</v>
      </c>
      <c r="K72">
        <v>14200</v>
      </c>
      <c r="L72">
        <f>sales[[#This Row],[Quantity]]*sales[[#This Row],[UnitPrice]]</f>
        <v>78223.520000000004</v>
      </c>
      <c r="M72">
        <f>sales[[#This Row],[GrossSales]]*sales[[#This Row],[DiscountRate]]</f>
        <v>0</v>
      </c>
      <c r="N72">
        <f>sales[[#This Row],[GrossSales]]-sales[[#This Row],[DiscountAmount]]</f>
        <v>78223.520000000004</v>
      </c>
      <c r="O72">
        <f>sales[[#This Row],[Quantity]]*sales[[#This Row],[UnitCostAtSale]]</f>
        <v>56800</v>
      </c>
      <c r="P72">
        <f>sales[[#This Row],[SalesAfterDiscount]]-sales[[#This Row],[CostOfGoodsSold]]</f>
        <v>21423.520000000004</v>
      </c>
      <c r="Q72">
        <f>IFERROR(sales[[#This Row],[GrossProfit]]/sales[[#This Row],[SalesAfterDiscount]],0)</f>
        <v>0.27387568342616136</v>
      </c>
    </row>
    <row r="73" spans="1:17">
      <c r="A73" t="s">
        <v>239</v>
      </c>
      <c r="B73" t="s">
        <v>240</v>
      </c>
      <c r="C73" s="1">
        <v>45728</v>
      </c>
      <c r="D73" t="s">
        <v>25</v>
      </c>
      <c r="E73" t="s">
        <v>50</v>
      </c>
      <c r="F73" t="s">
        <v>241</v>
      </c>
      <c r="G73" t="s">
        <v>22</v>
      </c>
      <c r="H73">
        <v>1</v>
      </c>
      <c r="I73">
        <v>18592.419999999998</v>
      </c>
      <c r="J73">
        <v>0</v>
      </c>
      <c r="K73">
        <v>14600</v>
      </c>
      <c r="L73">
        <f>sales[[#This Row],[Quantity]]*sales[[#This Row],[UnitPrice]]</f>
        <v>18592.419999999998</v>
      </c>
      <c r="M73">
        <f>sales[[#This Row],[GrossSales]]*sales[[#This Row],[DiscountRate]]</f>
        <v>0</v>
      </c>
      <c r="N73">
        <f>sales[[#This Row],[GrossSales]]-sales[[#This Row],[DiscountAmount]]</f>
        <v>18592.419999999998</v>
      </c>
      <c r="O73">
        <f>sales[[#This Row],[Quantity]]*sales[[#This Row],[UnitCostAtSale]]</f>
        <v>14600</v>
      </c>
      <c r="P73">
        <f>sales[[#This Row],[SalesAfterDiscount]]-sales[[#This Row],[CostOfGoodsSold]]</f>
        <v>3992.4199999999983</v>
      </c>
      <c r="Q73">
        <f>IFERROR(sales[[#This Row],[GrossProfit]]/sales[[#This Row],[SalesAfterDiscount]],0)</f>
        <v>0.21473374633318301</v>
      </c>
    </row>
    <row r="74" spans="1:17">
      <c r="A74" t="s">
        <v>242</v>
      </c>
      <c r="B74" t="s">
        <v>243</v>
      </c>
      <c r="C74" s="1">
        <v>45814</v>
      </c>
      <c r="D74" t="s">
        <v>95</v>
      </c>
      <c r="E74" t="s">
        <v>72</v>
      </c>
      <c r="F74" t="s">
        <v>113</v>
      </c>
      <c r="G74" t="s">
        <v>22</v>
      </c>
      <c r="H74">
        <v>2</v>
      </c>
      <c r="I74">
        <v>12048.66</v>
      </c>
      <c r="J74">
        <v>0.05</v>
      </c>
      <c r="K74">
        <v>9900</v>
      </c>
      <c r="L74">
        <f>sales[[#This Row],[Quantity]]*sales[[#This Row],[UnitPrice]]</f>
        <v>24097.32</v>
      </c>
      <c r="M74">
        <f>sales[[#This Row],[GrossSales]]*sales[[#This Row],[DiscountRate]]</f>
        <v>1204.866</v>
      </c>
      <c r="N74">
        <f>sales[[#This Row],[GrossSales]]-sales[[#This Row],[DiscountAmount]]</f>
        <v>22892.453999999998</v>
      </c>
      <c r="O74">
        <f>sales[[#This Row],[Quantity]]*sales[[#This Row],[UnitCostAtSale]]</f>
        <v>19800</v>
      </c>
      <c r="P74">
        <f>sales[[#This Row],[SalesAfterDiscount]]-sales[[#This Row],[CostOfGoodsSold]]</f>
        <v>3092.4539999999979</v>
      </c>
      <c r="Q74">
        <f>IFERROR(sales[[#This Row],[GrossProfit]]/sales[[#This Row],[SalesAfterDiscount]],0)</f>
        <v>0.1350861729371608</v>
      </c>
    </row>
    <row r="75" spans="1:17">
      <c r="A75" t="s">
        <v>244</v>
      </c>
      <c r="B75" t="s">
        <v>245</v>
      </c>
      <c r="C75" s="1">
        <v>45881</v>
      </c>
      <c r="D75" t="s">
        <v>41</v>
      </c>
      <c r="E75" t="s">
        <v>20</v>
      </c>
      <c r="F75" t="s">
        <v>246</v>
      </c>
      <c r="G75" t="s">
        <v>22</v>
      </c>
      <c r="H75">
        <v>4</v>
      </c>
      <c r="I75">
        <v>17279.419999999998</v>
      </c>
      <c r="J75">
        <v>0.1</v>
      </c>
      <c r="K75">
        <v>13950</v>
      </c>
      <c r="L75">
        <f>sales[[#This Row],[Quantity]]*sales[[#This Row],[UnitPrice]]</f>
        <v>69117.679999999993</v>
      </c>
      <c r="M75">
        <f>sales[[#This Row],[GrossSales]]*sales[[#This Row],[DiscountRate]]</f>
        <v>6911.768</v>
      </c>
      <c r="N75">
        <f>sales[[#This Row],[GrossSales]]-sales[[#This Row],[DiscountAmount]]</f>
        <v>62205.911999999997</v>
      </c>
      <c r="O75">
        <f>sales[[#This Row],[Quantity]]*sales[[#This Row],[UnitCostAtSale]]</f>
        <v>55800</v>
      </c>
      <c r="P75">
        <f>sales[[#This Row],[SalesAfterDiscount]]-sales[[#This Row],[CostOfGoodsSold]]</f>
        <v>6405.9119999999966</v>
      </c>
      <c r="Q75">
        <f>IFERROR(sales[[#This Row],[GrossProfit]]/sales[[#This Row],[SalesAfterDiscount]],0)</f>
        <v>0.10297915092057483</v>
      </c>
    </row>
    <row r="76" spans="1:17">
      <c r="A76" t="s">
        <v>247</v>
      </c>
      <c r="B76" t="s">
        <v>248</v>
      </c>
      <c r="C76" s="1">
        <v>45825</v>
      </c>
      <c r="D76" t="s">
        <v>202</v>
      </c>
      <c r="E76" t="s">
        <v>46</v>
      </c>
      <c r="F76" t="s">
        <v>145</v>
      </c>
      <c r="G76" t="s">
        <v>16</v>
      </c>
      <c r="H76">
        <v>3</v>
      </c>
      <c r="I76">
        <v>3559.5</v>
      </c>
      <c r="J76">
        <v>0</v>
      </c>
      <c r="K76">
        <v>2250</v>
      </c>
      <c r="L76">
        <f>sales[[#This Row],[Quantity]]*sales[[#This Row],[UnitPrice]]</f>
        <v>10678.5</v>
      </c>
      <c r="M76">
        <f>sales[[#This Row],[GrossSales]]*sales[[#This Row],[DiscountRate]]</f>
        <v>0</v>
      </c>
      <c r="N76">
        <f>sales[[#This Row],[GrossSales]]-sales[[#This Row],[DiscountAmount]]</f>
        <v>10678.5</v>
      </c>
      <c r="O76">
        <f>sales[[#This Row],[Quantity]]*sales[[#This Row],[UnitCostAtSale]]</f>
        <v>6750</v>
      </c>
      <c r="P76">
        <f>sales[[#This Row],[SalesAfterDiscount]]-sales[[#This Row],[CostOfGoodsSold]]</f>
        <v>3928.5</v>
      </c>
      <c r="Q76">
        <f>IFERROR(sales[[#This Row],[GrossProfit]]/sales[[#This Row],[SalesAfterDiscount]],0)</f>
        <v>0.36788874841972186</v>
      </c>
    </row>
    <row r="77" spans="1:17">
      <c r="A77" t="s">
        <v>249</v>
      </c>
      <c r="B77" t="s">
        <v>250</v>
      </c>
      <c r="C77" s="1">
        <v>46042</v>
      </c>
      <c r="D77" t="s">
        <v>41</v>
      </c>
      <c r="E77" t="s">
        <v>14</v>
      </c>
      <c r="F77" t="s">
        <v>251</v>
      </c>
      <c r="G77" t="s">
        <v>22</v>
      </c>
      <c r="H77">
        <v>4</v>
      </c>
      <c r="I77">
        <v>17279.419999999998</v>
      </c>
      <c r="J77">
        <v>0.05</v>
      </c>
      <c r="K77">
        <v>13950</v>
      </c>
      <c r="L77">
        <f>sales[[#This Row],[Quantity]]*sales[[#This Row],[UnitPrice]]</f>
        <v>69117.679999999993</v>
      </c>
      <c r="M77">
        <f>sales[[#This Row],[GrossSales]]*sales[[#This Row],[DiscountRate]]</f>
        <v>3455.884</v>
      </c>
      <c r="N77">
        <f>sales[[#This Row],[GrossSales]]-sales[[#This Row],[DiscountAmount]]</f>
        <v>65661.795999999988</v>
      </c>
      <c r="O77">
        <f>sales[[#This Row],[Quantity]]*sales[[#This Row],[UnitCostAtSale]]</f>
        <v>55800</v>
      </c>
      <c r="P77">
        <f>sales[[#This Row],[SalesAfterDiscount]]-sales[[#This Row],[CostOfGoodsSold]]</f>
        <v>9861.7959999999875</v>
      </c>
      <c r="Q77">
        <f>IFERROR(sales[[#This Row],[GrossProfit]]/sales[[#This Row],[SalesAfterDiscount]],0)</f>
        <v>0.15019077455633392</v>
      </c>
    </row>
    <row r="78" spans="1:17">
      <c r="A78" t="s">
        <v>252</v>
      </c>
      <c r="B78" t="s">
        <v>253</v>
      </c>
      <c r="C78" s="1">
        <v>45966</v>
      </c>
      <c r="D78" t="s">
        <v>37</v>
      </c>
      <c r="E78" t="s">
        <v>46</v>
      </c>
      <c r="F78" t="s">
        <v>254</v>
      </c>
      <c r="G78" t="s">
        <v>16</v>
      </c>
      <c r="H78">
        <v>5</v>
      </c>
      <c r="I78">
        <v>17336.23</v>
      </c>
      <c r="J78">
        <v>0</v>
      </c>
      <c r="K78">
        <v>14200</v>
      </c>
      <c r="L78">
        <f>sales[[#This Row],[Quantity]]*sales[[#This Row],[UnitPrice]]</f>
        <v>86681.15</v>
      </c>
      <c r="M78">
        <f>sales[[#This Row],[GrossSales]]*sales[[#This Row],[DiscountRate]]</f>
        <v>0</v>
      </c>
      <c r="N78">
        <f>sales[[#This Row],[GrossSales]]-sales[[#This Row],[DiscountAmount]]</f>
        <v>86681.15</v>
      </c>
      <c r="O78">
        <f>sales[[#This Row],[Quantity]]*sales[[#This Row],[UnitCostAtSale]]</f>
        <v>71000</v>
      </c>
      <c r="P78">
        <f>sales[[#This Row],[SalesAfterDiscount]]-sales[[#This Row],[CostOfGoodsSold]]</f>
        <v>15681.149999999994</v>
      </c>
      <c r="Q78">
        <f>IFERROR(sales[[#This Row],[GrossProfit]]/sales[[#This Row],[SalesAfterDiscount]],0)</f>
        <v>0.18090611395903256</v>
      </c>
    </row>
    <row r="79" spans="1:17">
      <c r="A79" t="s">
        <v>255</v>
      </c>
      <c r="B79" t="s">
        <v>256</v>
      </c>
      <c r="C79" s="1">
        <v>46096</v>
      </c>
      <c r="D79" t="s">
        <v>64</v>
      </c>
      <c r="E79" t="s">
        <v>46</v>
      </c>
      <c r="F79" t="s">
        <v>257</v>
      </c>
      <c r="G79" t="s">
        <v>16</v>
      </c>
      <c r="H79">
        <v>3</v>
      </c>
      <c r="I79">
        <v>2056.0100000000002</v>
      </c>
      <c r="J79">
        <v>0</v>
      </c>
      <c r="K79">
        <v>1350</v>
      </c>
      <c r="L79">
        <f>sales[[#This Row],[Quantity]]*sales[[#This Row],[UnitPrice]]</f>
        <v>6168.0300000000007</v>
      </c>
      <c r="M79">
        <f>sales[[#This Row],[GrossSales]]*sales[[#This Row],[DiscountRate]]</f>
        <v>0</v>
      </c>
      <c r="N79">
        <f>sales[[#This Row],[GrossSales]]-sales[[#This Row],[DiscountAmount]]</f>
        <v>6168.0300000000007</v>
      </c>
      <c r="O79">
        <f>sales[[#This Row],[Quantity]]*sales[[#This Row],[UnitCostAtSale]]</f>
        <v>4050</v>
      </c>
      <c r="P79">
        <f>sales[[#This Row],[SalesAfterDiscount]]-sales[[#This Row],[CostOfGoodsSold]]</f>
        <v>2118.0300000000007</v>
      </c>
      <c r="Q79">
        <f>IFERROR(sales[[#This Row],[GrossProfit]]/sales[[#This Row],[SalesAfterDiscount]],0)</f>
        <v>0.34338840764393175</v>
      </c>
    </row>
    <row r="80" spans="1:17">
      <c r="A80" t="s">
        <v>258</v>
      </c>
      <c r="B80" t="s">
        <v>259</v>
      </c>
      <c r="C80" s="1">
        <v>46088</v>
      </c>
      <c r="D80" t="s">
        <v>161</v>
      </c>
      <c r="E80" t="s">
        <v>72</v>
      </c>
      <c r="F80" t="s">
        <v>260</v>
      </c>
      <c r="G80" t="s">
        <v>16</v>
      </c>
      <c r="H80">
        <v>4</v>
      </c>
      <c r="I80">
        <v>3694.44</v>
      </c>
      <c r="J80">
        <v>0</v>
      </c>
      <c r="K80">
        <v>3100</v>
      </c>
      <c r="L80">
        <f>sales[[#This Row],[Quantity]]*sales[[#This Row],[UnitPrice]]</f>
        <v>14777.76</v>
      </c>
      <c r="M80">
        <f>sales[[#This Row],[GrossSales]]*sales[[#This Row],[DiscountRate]]</f>
        <v>0</v>
      </c>
      <c r="N80">
        <f>sales[[#This Row],[GrossSales]]-sales[[#This Row],[DiscountAmount]]</f>
        <v>14777.76</v>
      </c>
      <c r="O80">
        <f>sales[[#This Row],[Quantity]]*sales[[#This Row],[UnitCostAtSale]]</f>
        <v>12400</v>
      </c>
      <c r="P80">
        <f>sales[[#This Row],[SalesAfterDiscount]]-sales[[#This Row],[CostOfGoodsSold]]</f>
        <v>2377.7600000000002</v>
      </c>
      <c r="Q80">
        <f>IFERROR(sales[[#This Row],[GrossProfit]]/sales[[#This Row],[SalesAfterDiscount]],0)</f>
        <v>0.16090124619698792</v>
      </c>
    </row>
    <row r="81" spans="1:17">
      <c r="A81" t="s">
        <v>261</v>
      </c>
      <c r="B81" t="s">
        <v>262</v>
      </c>
      <c r="C81" s="1">
        <v>45814</v>
      </c>
      <c r="D81" t="s">
        <v>175</v>
      </c>
      <c r="E81" t="s">
        <v>46</v>
      </c>
      <c r="F81" t="s">
        <v>263</v>
      </c>
      <c r="G81" t="s">
        <v>16</v>
      </c>
      <c r="H81">
        <v>4</v>
      </c>
      <c r="I81">
        <v>2403.0700000000002</v>
      </c>
      <c r="J81">
        <v>0.05</v>
      </c>
      <c r="K81">
        <v>2000</v>
      </c>
      <c r="L81">
        <f>sales[[#This Row],[Quantity]]*sales[[#This Row],[UnitPrice]]</f>
        <v>9612.2800000000007</v>
      </c>
      <c r="M81">
        <f>sales[[#This Row],[GrossSales]]*sales[[#This Row],[DiscountRate]]</f>
        <v>480.61400000000003</v>
      </c>
      <c r="N81">
        <f>sales[[#This Row],[GrossSales]]-sales[[#This Row],[DiscountAmount]]</f>
        <v>9131.6660000000011</v>
      </c>
      <c r="O81">
        <f>sales[[#This Row],[Quantity]]*sales[[#This Row],[UnitCostAtSale]]</f>
        <v>8000</v>
      </c>
      <c r="P81">
        <f>sales[[#This Row],[SalesAfterDiscount]]-sales[[#This Row],[CostOfGoodsSold]]</f>
        <v>1131.6660000000011</v>
      </c>
      <c r="Q81">
        <f>IFERROR(sales[[#This Row],[GrossProfit]]/sales[[#This Row],[SalesAfterDiscount]],0)</f>
        <v>0.12392766007867578</v>
      </c>
    </row>
    <row r="82" spans="1:17">
      <c r="A82" t="s">
        <v>264</v>
      </c>
      <c r="B82" t="s">
        <v>265</v>
      </c>
      <c r="C82" s="1">
        <v>46153</v>
      </c>
      <c r="D82" t="s">
        <v>95</v>
      </c>
      <c r="E82" t="s">
        <v>46</v>
      </c>
      <c r="F82" t="s">
        <v>266</v>
      </c>
      <c r="G82" t="s">
        <v>16</v>
      </c>
      <c r="H82">
        <v>4</v>
      </c>
      <c r="I82">
        <v>12048.66</v>
      </c>
      <c r="J82">
        <v>0.15</v>
      </c>
      <c r="K82">
        <v>9900</v>
      </c>
      <c r="L82">
        <f>sales[[#This Row],[Quantity]]*sales[[#This Row],[UnitPrice]]</f>
        <v>48194.64</v>
      </c>
      <c r="M82">
        <f>sales[[#This Row],[GrossSales]]*sales[[#This Row],[DiscountRate]]</f>
        <v>7229.1959999999999</v>
      </c>
      <c r="N82">
        <f>sales[[#This Row],[GrossSales]]-sales[[#This Row],[DiscountAmount]]</f>
        <v>40965.444000000003</v>
      </c>
      <c r="O82">
        <f>sales[[#This Row],[Quantity]]*sales[[#This Row],[UnitCostAtSale]]</f>
        <v>39600</v>
      </c>
      <c r="P82">
        <f>sales[[#This Row],[SalesAfterDiscount]]-sales[[#This Row],[CostOfGoodsSold]]</f>
        <v>1365.4440000000031</v>
      </c>
      <c r="Q82">
        <f>IFERROR(sales[[#This Row],[GrossProfit]]/sales[[#This Row],[SalesAfterDiscount]],0)</f>
        <v>3.3331605047415162E-2</v>
      </c>
    </row>
    <row r="83" spans="1:17">
      <c r="A83" t="s">
        <v>267</v>
      </c>
      <c r="B83" t="s">
        <v>268</v>
      </c>
      <c r="C83" s="1">
        <v>45909</v>
      </c>
      <c r="D83" t="s">
        <v>76</v>
      </c>
      <c r="E83" t="s">
        <v>72</v>
      </c>
      <c r="F83" t="s">
        <v>92</v>
      </c>
      <c r="G83" t="s">
        <v>16</v>
      </c>
      <c r="H83">
        <v>1</v>
      </c>
      <c r="I83">
        <v>11999.07</v>
      </c>
      <c r="J83">
        <v>0.1</v>
      </c>
      <c r="K83">
        <v>9550</v>
      </c>
      <c r="L83">
        <f>sales[[#This Row],[Quantity]]*sales[[#This Row],[UnitPrice]]</f>
        <v>11999.07</v>
      </c>
      <c r="M83">
        <f>sales[[#This Row],[GrossSales]]*sales[[#This Row],[DiscountRate]]</f>
        <v>1199.9069999999999</v>
      </c>
      <c r="N83">
        <f>sales[[#This Row],[GrossSales]]-sales[[#This Row],[DiscountAmount]]</f>
        <v>10799.163</v>
      </c>
      <c r="O83">
        <f>sales[[#This Row],[Quantity]]*sales[[#This Row],[UnitCostAtSale]]</f>
        <v>9550</v>
      </c>
      <c r="P83">
        <f>sales[[#This Row],[SalesAfterDiscount]]-sales[[#This Row],[CostOfGoodsSold]]</f>
        <v>1249.1630000000005</v>
      </c>
      <c r="Q83">
        <f>IFERROR(sales[[#This Row],[GrossProfit]]/sales[[#This Row],[SalesAfterDiscount]],0)</f>
        <v>0.11567220533665437</v>
      </c>
    </row>
    <row r="84" spans="1:17">
      <c r="A84" t="s">
        <v>269</v>
      </c>
      <c r="B84" t="s">
        <v>270</v>
      </c>
      <c r="C84" s="1">
        <v>46046</v>
      </c>
      <c r="D84" t="s">
        <v>41</v>
      </c>
      <c r="E84" t="s">
        <v>72</v>
      </c>
      <c r="F84" t="s">
        <v>172</v>
      </c>
      <c r="G84" t="s">
        <v>22</v>
      </c>
      <c r="H84">
        <v>3</v>
      </c>
      <c r="I84">
        <v>17279.419999999998</v>
      </c>
      <c r="J84">
        <v>0</v>
      </c>
      <c r="K84">
        <v>13950</v>
      </c>
      <c r="L84">
        <f>sales[[#This Row],[Quantity]]*sales[[#This Row],[UnitPrice]]</f>
        <v>51838.259999999995</v>
      </c>
      <c r="M84">
        <f>sales[[#This Row],[GrossSales]]*sales[[#This Row],[DiscountRate]]</f>
        <v>0</v>
      </c>
      <c r="N84">
        <f>sales[[#This Row],[GrossSales]]-sales[[#This Row],[DiscountAmount]]</f>
        <v>51838.259999999995</v>
      </c>
      <c r="O84">
        <f>sales[[#This Row],[Quantity]]*sales[[#This Row],[UnitCostAtSale]]</f>
        <v>41850</v>
      </c>
      <c r="P84">
        <f>sales[[#This Row],[SalesAfterDiscount]]-sales[[#This Row],[CostOfGoodsSold]]</f>
        <v>9988.2599999999948</v>
      </c>
      <c r="Q84">
        <f>IFERROR(sales[[#This Row],[GrossProfit]]/sales[[#This Row],[SalesAfterDiscount]],0)</f>
        <v>0.19268123582851732</v>
      </c>
    </row>
    <row r="85" spans="1:17">
      <c r="A85" t="s">
        <v>271</v>
      </c>
      <c r="B85" t="s">
        <v>272</v>
      </c>
      <c r="C85" s="1">
        <v>45875</v>
      </c>
      <c r="D85" t="s">
        <v>19</v>
      </c>
      <c r="E85" t="s">
        <v>20</v>
      </c>
      <c r="F85" t="s">
        <v>65</v>
      </c>
      <c r="G85" t="s">
        <v>16</v>
      </c>
      <c r="H85">
        <v>3</v>
      </c>
      <c r="I85">
        <v>12193.29</v>
      </c>
      <c r="J85">
        <v>0.1</v>
      </c>
      <c r="K85">
        <v>9950</v>
      </c>
      <c r="L85">
        <f>sales[[#This Row],[Quantity]]*sales[[#This Row],[UnitPrice]]</f>
        <v>36579.870000000003</v>
      </c>
      <c r="M85">
        <f>sales[[#This Row],[GrossSales]]*sales[[#This Row],[DiscountRate]]</f>
        <v>3657.9870000000005</v>
      </c>
      <c r="N85">
        <f>sales[[#This Row],[GrossSales]]-sales[[#This Row],[DiscountAmount]]</f>
        <v>32921.883000000002</v>
      </c>
      <c r="O85">
        <f>sales[[#This Row],[Quantity]]*sales[[#This Row],[UnitCostAtSale]]</f>
        <v>29850</v>
      </c>
      <c r="P85">
        <f>sales[[#This Row],[SalesAfterDiscount]]-sales[[#This Row],[CostOfGoodsSold]]</f>
        <v>3071.8830000000016</v>
      </c>
      <c r="Q85">
        <f>IFERROR(sales[[#This Row],[GrossProfit]]/sales[[#This Row],[SalesAfterDiscount]],0)</f>
        <v>9.3308241208438822E-2</v>
      </c>
    </row>
    <row r="86" spans="1:17">
      <c r="A86" t="s">
        <v>273</v>
      </c>
      <c r="B86" t="s">
        <v>274</v>
      </c>
      <c r="C86" s="1">
        <v>45668</v>
      </c>
      <c r="D86" t="s">
        <v>64</v>
      </c>
      <c r="E86" t="s">
        <v>14</v>
      </c>
      <c r="F86" t="s">
        <v>21</v>
      </c>
      <c r="G86" t="s">
        <v>16</v>
      </c>
      <c r="H86">
        <v>5</v>
      </c>
      <c r="I86">
        <v>2056.0100000000002</v>
      </c>
      <c r="J86">
        <v>0.05</v>
      </c>
      <c r="K86">
        <v>1350</v>
      </c>
      <c r="L86">
        <f>sales[[#This Row],[Quantity]]*sales[[#This Row],[UnitPrice]]</f>
        <v>10280.050000000001</v>
      </c>
      <c r="M86">
        <f>sales[[#This Row],[GrossSales]]*sales[[#This Row],[DiscountRate]]</f>
        <v>514.00250000000005</v>
      </c>
      <c r="N86">
        <f>sales[[#This Row],[GrossSales]]-sales[[#This Row],[DiscountAmount]]</f>
        <v>9766.0475000000006</v>
      </c>
      <c r="O86">
        <f>sales[[#This Row],[Quantity]]*sales[[#This Row],[UnitCostAtSale]]</f>
        <v>6750</v>
      </c>
      <c r="P86">
        <f>sales[[#This Row],[SalesAfterDiscount]]-sales[[#This Row],[CostOfGoodsSold]]</f>
        <v>3016.0475000000006</v>
      </c>
      <c r="Q86">
        <f>IFERROR(sales[[#This Row],[GrossProfit]]/sales[[#This Row],[SalesAfterDiscount]],0)</f>
        <v>0.30882990278308603</v>
      </c>
    </row>
    <row r="87" spans="1:17">
      <c r="A87" t="s">
        <v>275</v>
      </c>
      <c r="B87" t="s">
        <v>276</v>
      </c>
      <c r="C87" s="1">
        <v>45904</v>
      </c>
      <c r="D87" t="s">
        <v>19</v>
      </c>
      <c r="E87" t="s">
        <v>72</v>
      </c>
      <c r="F87" t="s">
        <v>38</v>
      </c>
      <c r="G87" t="s">
        <v>22</v>
      </c>
      <c r="H87">
        <v>4</v>
      </c>
      <c r="I87">
        <v>12193.29</v>
      </c>
      <c r="J87">
        <v>0.15</v>
      </c>
      <c r="K87">
        <v>9950</v>
      </c>
      <c r="L87">
        <f>sales[[#This Row],[Quantity]]*sales[[#This Row],[UnitPrice]]</f>
        <v>48773.16</v>
      </c>
      <c r="M87">
        <f>sales[[#This Row],[GrossSales]]*sales[[#This Row],[DiscountRate]]</f>
        <v>7315.9740000000002</v>
      </c>
      <c r="N87">
        <f>sales[[#This Row],[GrossSales]]-sales[[#This Row],[DiscountAmount]]</f>
        <v>41457.186000000002</v>
      </c>
      <c r="O87">
        <f>sales[[#This Row],[Quantity]]*sales[[#This Row],[UnitCostAtSale]]</f>
        <v>39800</v>
      </c>
      <c r="P87">
        <f>sales[[#This Row],[SalesAfterDiscount]]-sales[[#This Row],[CostOfGoodsSold]]</f>
        <v>1657.1860000000015</v>
      </c>
      <c r="Q87">
        <f>IFERROR(sales[[#This Row],[GrossProfit]]/sales[[#This Row],[SalesAfterDiscount]],0)</f>
        <v>3.9973431867758737E-2</v>
      </c>
    </row>
    <row r="88" spans="1:17">
      <c r="A88" t="s">
        <v>277</v>
      </c>
      <c r="B88" t="s">
        <v>278</v>
      </c>
      <c r="C88" s="1">
        <v>45884</v>
      </c>
      <c r="D88" t="s">
        <v>155</v>
      </c>
      <c r="E88" t="s">
        <v>20</v>
      </c>
      <c r="F88" t="s">
        <v>81</v>
      </c>
      <c r="G88" t="s">
        <v>16</v>
      </c>
      <c r="H88">
        <v>4</v>
      </c>
      <c r="I88">
        <v>17046.37</v>
      </c>
      <c r="J88">
        <v>0.05</v>
      </c>
      <c r="K88">
        <v>11700</v>
      </c>
      <c r="L88">
        <f>sales[[#This Row],[Quantity]]*sales[[#This Row],[UnitPrice]]</f>
        <v>68185.48</v>
      </c>
      <c r="M88">
        <f>sales[[#This Row],[GrossSales]]*sales[[#This Row],[DiscountRate]]</f>
        <v>3409.2739999999999</v>
      </c>
      <c r="N88">
        <f>sales[[#This Row],[GrossSales]]-sales[[#This Row],[DiscountAmount]]</f>
        <v>64776.205999999998</v>
      </c>
      <c r="O88">
        <f>sales[[#This Row],[Quantity]]*sales[[#This Row],[UnitCostAtSale]]</f>
        <v>46800</v>
      </c>
      <c r="P88">
        <f>sales[[#This Row],[SalesAfterDiscount]]-sales[[#This Row],[CostOfGoodsSold]]</f>
        <v>17976.205999999998</v>
      </c>
      <c r="Q88">
        <f>IFERROR(sales[[#This Row],[GrossProfit]]/sales[[#This Row],[SalesAfterDiscount]],0)</f>
        <v>0.27751248660657896</v>
      </c>
    </row>
    <row r="89" spans="1:17">
      <c r="A89" t="s">
        <v>279</v>
      </c>
      <c r="B89" t="s">
        <v>280</v>
      </c>
      <c r="C89" s="1">
        <v>46010</v>
      </c>
      <c r="D89" t="s">
        <v>19</v>
      </c>
      <c r="E89" t="s">
        <v>20</v>
      </c>
      <c r="F89" t="s">
        <v>281</v>
      </c>
      <c r="G89" t="s">
        <v>16</v>
      </c>
      <c r="H89">
        <v>4</v>
      </c>
      <c r="I89">
        <v>12193.29</v>
      </c>
      <c r="J89">
        <v>0.2</v>
      </c>
      <c r="K89">
        <v>9950</v>
      </c>
      <c r="L89">
        <f>sales[[#This Row],[Quantity]]*sales[[#This Row],[UnitPrice]]</f>
        <v>48773.16</v>
      </c>
      <c r="M89">
        <f>sales[[#This Row],[GrossSales]]*sales[[#This Row],[DiscountRate]]</f>
        <v>9754.6320000000014</v>
      </c>
      <c r="N89">
        <f>sales[[#This Row],[GrossSales]]-sales[[#This Row],[DiscountAmount]]</f>
        <v>39018.528000000006</v>
      </c>
      <c r="O89">
        <f>sales[[#This Row],[Quantity]]*sales[[#This Row],[UnitCostAtSale]]</f>
        <v>39800</v>
      </c>
      <c r="P89">
        <f>sales[[#This Row],[SalesAfterDiscount]]-sales[[#This Row],[CostOfGoodsSold]]</f>
        <v>-781.4719999999943</v>
      </c>
      <c r="Q89">
        <f>IFERROR(sales[[#This Row],[GrossProfit]]/sales[[#This Row],[SalesAfterDiscount]],0)</f>
        <v>-2.0028228640506227E-2</v>
      </c>
    </row>
    <row r="90" spans="1:17">
      <c r="A90" t="s">
        <v>282</v>
      </c>
      <c r="B90" t="s">
        <v>283</v>
      </c>
      <c r="C90" s="1">
        <v>45971</v>
      </c>
      <c r="D90" t="s">
        <v>80</v>
      </c>
      <c r="E90" t="s">
        <v>14</v>
      </c>
      <c r="F90" t="s">
        <v>51</v>
      </c>
      <c r="G90" t="s">
        <v>22</v>
      </c>
      <c r="H90">
        <v>3</v>
      </c>
      <c r="I90">
        <v>19555.88</v>
      </c>
      <c r="J90">
        <v>0.05</v>
      </c>
      <c r="K90">
        <v>14200</v>
      </c>
      <c r="L90">
        <f>sales[[#This Row],[Quantity]]*sales[[#This Row],[UnitPrice]]</f>
        <v>58667.64</v>
      </c>
      <c r="M90">
        <f>sales[[#This Row],[GrossSales]]*sales[[#This Row],[DiscountRate]]</f>
        <v>2933.3820000000001</v>
      </c>
      <c r="N90">
        <f>sales[[#This Row],[GrossSales]]-sales[[#This Row],[DiscountAmount]]</f>
        <v>55734.258000000002</v>
      </c>
      <c r="O90">
        <f>sales[[#This Row],[Quantity]]*sales[[#This Row],[UnitCostAtSale]]</f>
        <v>42600</v>
      </c>
      <c r="P90">
        <f>sales[[#This Row],[SalesAfterDiscount]]-sales[[#This Row],[CostOfGoodsSold]]</f>
        <v>13134.258000000002</v>
      </c>
      <c r="Q90">
        <f>IFERROR(sales[[#This Row],[GrossProfit]]/sales[[#This Row],[SalesAfterDiscount]],0)</f>
        <v>0.23565861413280143</v>
      </c>
    </row>
    <row r="91" spans="1:17">
      <c r="A91" t="s">
        <v>284</v>
      </c>
      <c r="B91" t="s">
        <v>285</v>
      </c>
      <c r="C91" s="1">
        <v>45780</v>
      </c>
      <c r="D91" t="s">
        <v>286</v>
      </c>
      <c r="E91" t="s">
        <v>50</v>
      </c>
      <c r="F91" t="s">
        <v>287</v>
      </c>
      <c r="G91" t="s">
        <v>16</v>
      </c>
      <c r="H91">
        <v>5</v>
      </c>
      <c r="I91">
        <v>614.66</v>
      </c>
      <c r="J91">
        <v>0.05</v>
      </c>
      <c r="K91">
        <v>400</v>
      </c>
      <c r="L91">
        <f>sales[[#This Row],[Quantity]]*sales[[#This Row],[UnitPrice]]</f>
        <v>3073.2999999999997</v>
      </c>
      <c r="M91">
        <f>sales[[#This Row],[GrossSales]]*sales[[#This Row],[DiscountRate]]</f>
        <v>153.66499999999999</v>
      </c>
      <c r="N91">
        <f>sales[[#This Row],[GrossSales]]-sales[[#This Row],[DiscountAmount]]</f>
        <v>2919.6349999999998</v>
      </c>
      <c r="O91">
        <f>sales[[#This Row],[Quantity]]*sales[[#This Row],[UnitCostAtSale]]</f>
        <v>2000</v>
      </c>
      <c r="P91">
        <f>sales[[#This Row],[SalesAfterDiscount]]-sales[[#This Row],[CostOfGoodsSold]]</f>
        <v>919.63499999999976</v>
      </c>
      <c r="Q91">
        <f>IFERROR(sales[[#This Row],[GrossProfit]]/sales[[#This Row],[SalesAfterDiscount]],0)</f>
        <v>0.31498286600893599</v>
      </c>
    </row>
    <row r="92" spans="1:17">
      <c r="A92" t="s">
        <v>288</v>
      </c>
      <c r="B92" t="s">
        <v>289</v>
      </c>
      <c r="C92" s="1">
        <v>46195</v>
      </c>
      <c r="D92" t="s">
        <v>80</v>
      </c>
      <c r="E92" t="s">
        <v>14</v>
      </c>
      <c r="F92" t="s">
        <v>61</v>
      </c>
      <c r="G92" t="s">
        <v>16</v>
      </c>
      <c r="H92">
        <v>5</v>
      </c>
      <c r="I92">
        <v>19555.88</v>
      </c>
      <c r="J92">
        <v>0.1</v>
      </c>
      <c r="K92">
        <v>14200</v>
      </c>
      <c r="L92">
        <f>sales[[#This Row],[Quantity]]*sales[[#This Row],[UnitPrice]]</f>
        <v>97779.400000000009</v>
      </c>
      <c r="M92">
        <f>sales[[#This Row],[GrossSales]]*sales[[#This Row],[DiscountRate]]</f>
        <v>9777.94</v>
      </c>
      <c r="N92">
        <f>sales[[#This Row],[GrossSales]]-sales[[#This Row],[DiscountAmount]]</f>
        <v>88001.46</v>
      </c>
      <c r="O92">
        <f>sales[[#This Row],[Quantity]]*sales[[#This Row],[UnitCostAtSale]]</f>
        <v>71000</v>
      </c>
      <c r="P92">
        <f>sales[[#This Row],[SalesAfterDiscount]]-sales[[#This Row],[CostOfGoodsSold]]</f>
        <v>17001.460000000006</v>
      </c>
      <c r="Q92">
        <f>IFERROR(sales[[#This Row],[GrossProfit]]/sales[[#This Row],[SalesAfterDiscount]],0)</f>
        <v>0.19319520380684599</v>
      </c>
    </row>
    <row r="93" spans="1:17">
      <c r="A93" t="s">
        <v>290</v>
      </c>
      <c r="B93" t="s">
        <v>291</v>
      </c>
      <c r="C93" s="1">
        <v>46027</v>
      </c>
      <c r="D93" t="s">
        <v>25</v>
      </c>
      <c r="E93" t="s">
        <v>14</v>
      </c>
      <c r="F93" t="s">
        <v>131</v>
      </c>
      <c r="G93" t="s">
        <v>22</v>
      </c>
      <c r="H93">
        <v>2</v>
      </c>
      <c r="I93">
        <v>18592.419999999998</v>
      </c>
      <c r="J93">
        <v>0.1</v>
      </c>
      <c r="K93">
        <v>14600</v>
      </c>
      <c r="L93">
        <f>sales[[#This Row],[Quantity]]*sales[[#This Row],[UnitPrice]]</f>
        <v>37184.839999999997</v>
      </c>
      <c r="M93">
        <f>sales[[#This Row],[GrossSales]]*sales[[#This Row],[DiscountRate]]</f>
        <v>3718.4839999999999</v>
      </c>
      <c r="N93">
        <f>sales[[#This Row],[GrossSales]]-sales[[#This Row],[DiscountAmount]]</f>
        <v>33466.356</v>
      </c>
      <c r="O93">
        <f>sales[[#This Row],[Quantity]]*sales[[#This Row],[UnitCostAtSale]]</f>
        <v>29200</v>
      </c>
      <c r="P93">
        <f>sales[[#This Row],[SalesAfterDiscount]]-sales[[#This Row],[CostOfGoodsSold]]</f>
        <v>4266.3559999999998</v>
      </c>
      <c r="Q93">
        <f>IFERROR(sales[[#This Row],[GrossProfit]]/sales[[#This Row],[SalesAfterDiscount]],0)</f>
        <v>0.12748194037020344</v>
      </c>
    </row>
    <row r="94" spans="1:17">
      <c r="A94" t="s">
        <v>292</v>
      </c>
      <c r="B94" t="s">
        <v>293</v>
      </c>
      <c r="C94" s="1">
        <v>45704</v>
      </c>
      <c r="D94" t="s">
        <v>80</v>
      </c>
      <c r="E94" t="s">
        <v>20</v>
      </c>
      <c r="F94" t="s">
        <v>217</v>
      </c>
      <c r="G94" t="s">
        <v>22</v>
      </c>
      <c r="H94">
        <v>1</v>
      </c>
      <c r="I94">
        <v>19555.88</v>
      </c>
      <c r="J94">
        <v>0.2</v>
      </c>
      <c r="K94">
        <v>14200</v>
      </c>
      <c r="L94">
        <f>sales[[#This Row],[Quantity]]*sales[[#This Row],[UnitPrice]]</f>
        <v>19555.88</v>
      </c>
      <c r="M94">
        <f>sales[[#This Row],[GrossSales]]*sales[[#This Row],[DiscountRate]]</f>
        <v>3911.1760000000004</v>
      </c>
      <c r="N94">
        <f>sales[[#This Row],[GrossSales]]-sales[[#This Row],[DiscountAmount]]</f>
        <v>15644.704000000002</v>
      </c>
      <c r="O94">
        <f>sales[[#This Row],[Quantity]]*sales[[#This Row],[UnitCostAtSale]]</f>
        <v>14200</v>
      </c>
      <c r="P94">
        <f>sales[[#This Row],[SalesAfterDiscount]]-sales[[#This Row],[CostOfGoodsSold]]</f>
        <v>1444.7040000000015</v>
      </c>
      <c r="Q94">
        <f>IFERROR(sales[[#This Row],[GrossProfit]]/sales[[#This Row],[SalesAfterDiscount]],0)</f>
        <v>9.2344604282701762E-2</v>
      </c>
    </row>
    <row r="95" spans="1:17">
      <c r="A95" t="s">
        <v>294</v>
      </c>
      <c r="B95" t="s">
        <v>295</v>
      </c>
      <c r="C95" s="1">
        <v>46160</v>
      </c>
      <c r="D95" t="s">
        <v>130</v>
      </c>
      <c r="E95" t="s">
        <v>46</v>
      </c>
      <c r="F95" t="s">
        <v>109</v>
      </c>
      <c r="G95" t="s">
        <v>16</v>
      </c>
      <c r="H95">
        <v>1</v>
      </c>
      <c r="I95">
        <v>12166.11</v>
      </c>
      <c r="J95">
        <v>0</v>
      </c>
      <c r="K95">
        <v>7750</v>
      </c>
      <c r="L95">
        <f>sales[[#This Row],[Quantity]]*sales[[#This Row],[UnitPrice]]</f>
        <v>12166.11</v>
      </c>
      <c r="M95">
        <f>sales[[#This Row],[GrossSales]]*sales[[#This Row],[DiscountRate]]</f>
        <v>0</v>
      </c>
      <c r="N95">
        <f>sales[[#This Row],[GrossSales]]-sales[[#This Row],[DiscountAmount]]</f>
        <v>12166.11</v>
      </c>
      <c r="O95">
        <f>sales[[#This Row],[Quantity]]*sales[[#This Row],[UnitCostAtSale]]</f>
        <v>7750</v>
      </c>
      <c r="P95">
        <f>sales[[#This Row],[SalesAfterDiscount]]-sales[[#This Row],[CostOfGoodsSold]]</f>
        <v>4416.1100000000006</v>
      </c>
      <c r="Q95">
        <f>IFERROR(sales[[#This Row],[GrossProfit]]/sales[[#This Row],[SalesAfterDiscount]],0)</f>
        <v>0.36298455299187665</v>
      </c>
    </row>
    <row r="96" spans="1:17">
      <c r="A96" t="s">
        <v>296</v>
      </c>
      <c r="B96" t="s">
        <v>297</v>
      </c>
      <c r="C96" s="1">
        <v>46109</v>
      </c>
      <c r="D96" t="s">
        <v>19</v>
      </c>
      <c r="E96" t="s">
        <v>14</v>
      </c>
      <c r="F96" t="s">
        <v>298</v>
      </c>
      <c r="G96" t="s">
        <v>16</v>
      </c>
      <c r="H96">
        <v>3</v>
      </c>
      <c r="I96">
        <v>12193.29</v>
      </c>
      <c r="J96">
        <v>0.05</v>
      </c>
      <c r="K96">
        <v>9950</v>
      </c>
      <c r="L96">
        <f>sales[[#This Row],[Quantity]]*sales[[#This Row],[UnitPrice]]</f>
        <v>36579.870000000003</v>
      </c>
      <c r="M96">
        <f>sales[[#This Row],[GrossSales]]*sales[[#This Row],[DiscountRate]]</f>
        <v>1828.9935000000003</v>
      </c>
      <c r="N96">
        <f>sales[[#This Row],[GrossSales]]-sales[[#This Row],[DiscountAmount]]</f>
        <v>34750.876500000006</v>
      </c>
      <c r="O96">
        <f>sales[[#This Row],[Quantity]]*sales[[#This Row],[UnitCostAtSale]]</f>
        <v>29850</v>
      </c>
      <c r="P96">
        <f>sales[[#This Row],[SalesAfterDiscount]]-sales[[#This Row],[CostOfGoodsSold]]</f>
        <v>4900.8765000000058</v>
      </c>
      <c r="Q96">
        <f>IFERROR(sales[[#This Row],[GrossProfit]]/sales[[#This Row],[SalesAfterDiscount]],0)</f>
        <v>0.1410288600922053</v>
      </c>
    </row>
    <row r="97" spans="1:17">
      <c r="A97" t="s">
        <v>299</v>
      </c>
      <c r="B97" t="s">
        <v>300</v>
      </c>
      <c r="C97" s="1">
        <v>45724</v>
      </c>
      <c r="D97" t="s">
        <v>37</v>
      </c>
      <c r="E97" t="s">
        <v>14</v>
      </c>
      <c r="F97" t="s">
        <v>301</v>
      </c>
      <c r="G97" t="s">
        <v>22</v>
      </c>
      <c r="H97">
        <v>4</v>
      </c>
      <c r="I97">
        <v>17336.23</v>
      </c>
      <c r="J97">
        <v>0.15</v>
      </c>
      <c r="K97">
        <v>14200</v>
      </c>
      <c r="L97">
        <f>sales[[#This Row],[Quantity]]*sales[[#This Row],[UnitPrice]]</f>
        <v>69344.92</v>
      </c>
      <c r="M97">
        <f>sales[[#This Row],[GrossSales]]*sales[[#This Row],[DiscountRate]]</f>
        <v>10401.737999999999</v>
      </c>
      <c r="N97">
        <f>sales[[#This Row],[GrossSales]]-sales[[#This Row],[DiscountAmount]]</f>
        <v>58943.182000000001</v>
      </c>
      <c r="O97">
        <f>sales[[#This Row],[Quantity]]*sales[[#This Row],[UnitCostAtSale]]</f>
        <v>56800</v>
      </c>
      <c r="P97">
        <f>sales[[#This Row],[SalesAfterDiscount]]-sales[[#This Row],[CostOfGoodsSold]]</f>
        <v>2143.1820000000007</v>
      </c>
      <c r="Q97">
        <f>IFERROR(sales[[#This Row],[GrossProfit]]/sales[[#This Row],[SalesAfterDiscount]],0)</f>
        <v>3.6360134069450149E-2</v>
      </c>
    </row>
    <row r="98" spans="1:17">
      <c r="A98" t="s">
        <v>302</v>
      </c>
      <c r="B98" t="s">
        <v>303</v>
      </c>
      <c r="C98" s="1">
        <v>45810</v>
      </c>
      <c r="D98" t="s">
        <v>29</v>
      </c>
      <c r="E98" t="s">
        <v>14</v>
      </c>
      <c r="F98" t="s">
        <v>92</v>
      </c>
      <c r="G98" t="s">
        <v>22</v>
      </c>
      <c r="H98">
        <v>5</v>
      </c>
      <c r="I98">
        <v>13204.06</v>
      </c>
      <c r="J98">
        <v>0.1</v>
      </c>
      <c r="K98">
        <v>11050</v>
      </c>
      <c r="L98">
        <f>sales[[#This Row],[Quantity]]*sales[[#This Row],[UnitPrice]]</f>
        <v>66020.3</v>
      </c>
      <c r="M98">
        <f>sales[[#This Row],[GrossSales]]*sales[[#This Row],[DiscountRate]]</f>
        <v>6602.0300000000007</v>
      </c>
      <c r="N98">
        <f>sales[[#This Row],[GrossSales]]-sales[[#This Row],[DiscountAmount]]</f>
        <v>59418.270000000004</v>
      </c>
      <c r="O98">
        <f>sales[[#This Row],[Quantity]]*sales[[#This Row],[UnitCostAtSale]]</f>
        <v>55250</v>
      </c>
      <c r="P98">
        <f>sales[[#This Row],[SalesAfterDiscount]]-sales[[#This Row],[CostOfGoodsSold]]</f>
        <v>4168.2700000000041</v>
      </c>
      <c r="Q98">
        <f>IFERROR(sales[[#This Row],[GrossProfit]]/sales[[#This Row],[SalesAfterDiscount]],0)</f>
        <v>7.0151318777877641E-2</v>
      </c>
    </row>
    <row r="99" spans="1:17">
      <c r="A99" t="s">
        <v>304</v>
      </c>
      <c r="B99" t="s">
        <v>305</v>
      </c>
      <c r="C99" s="1">
        <v>46084</v>
      </c>
      <c r="D99" t="s">
        <v>64</v>
      </c>
      <c r="E99" t="s">
        <v>46</v>
      </c>
      <c r="F99" t="s">
        <v>223</v>
      </c>
      <c r="G99" t="s">
        <v>16</v>
      </c>
      <c r="H99">
        <v>5</v>
      </c>
      <c r="I99">
        <v>2056.0100000000002</v>
      </c>
      <c r="J99">
        <v>0.2</v>
      </c>
      <c r="K99">
        <v>1350</v>
      </c>
      <c r="L99">
        <f>sales[[#This Row],[Quantity]]*sales[[#This Row],[UnitPrice]]</f>
        <v>10280.050000000001</v>
      </c>
      <c r="M99">
        <f>sales[[#This Row],[GrossSales]]*sales[[#This Row],[DiscountRate]]</f>
        <v>2056.0100000000002</v>
      </c>
      <c r="N99">
        <f>sales[[#This Row],[GrossSales]]-sales[[#This Row],[DiscountAmount]]</f>
        <v>8224.0400000000009</v>
      </c>
      <c r="O99">
        <f>sales[[#This Row],[Quantity]]*sales[[#This Row],[UnitCostAtSale]]</f>
        <v>6750</v>
      </c>
      <c r="P99">
        <f>sales[[#This Row],[SalesAfterDiscount]]-sales[[#This Row],[CostOfGoodsSold]]</f>
        <v>1474.0400000000009</v>
      </c>
      <c r="Q99">
        <f>IFERROR(sales[[#This Row],[GrossProfit]]/sales[[#This Row],[SalesAfterDiscount]],0)</f>
        <v>0.17923550955491471</v>
      </c>
    </row>
    <row r="100" spans="1:17">
      <c r="A100" t="s">
        <v>306</v>
      </c>
      <c r="B100" t="s">
        <v>307</v>
      </c>
      <c r="C100" s="1">
        <v>46111</v>
      </c>
      <c r="D100" t="s">
        <v>112</v>
      </c>
      <c r="E100" t="s">
        <v>72</v>
      </c>
      <c r="F100" t="s">
        <v>308</v>
      </c>
      <c r="G100" t="s">
        <v>22</v>
      </c>
      <c r="H100">
        <v>3</v>
      </c>
      <c r="I100">
        <v>10868.14</v>
      </c>
      <c r="J100">
        <v>0.2</v>
      </c>
      <c r="K100">
        <v>8850</v>
      </c>
      <c r="L100">
        <f>sales[[#This Row],[Quantity]]*sales[[#This Row],[UnitPrice]]</f>
        <v>32604.42</v>
      </c>
      <c r="M100">
        <f>sales[[#This Row],[GrossSales]]*sales[[#This Row],[DiscountRate]]</f>
        <v>6520.884</v>
      </c>
      <c r="N100">
        <f>sales[[#This Row],[GrossSales]]-sales[[#This Row],[DiscountAmount]]</f>
        <v>26083.536</v>
      </c>
      <c r="O100">
        <f>sales[[#This Row],[Quantity]]*sales[[#This Row],[UnitCostAtSale]]</f>
        <v>26550</v>
      </c>
      <c r="P100">
        <f>sales[[#This Row],[SalesAfterDiscount]]-sales[[#This Row],[CostOfGoodsSold]]</f>
        <v>-466.46399999999994</v>
      </c>
      <c r="Q100">
        <f>IFERROR(sales[[#This Row],[GrossProfit]]/sales[[#This Row],[SalesAfterDiscount]],0)</f>
        <v>-1.7883464879915052E-2</v>
      </c>
    </row>
    <row r="101" spans="1:17">
      <c r="A101" t="s">
        <v>309</v>
      </c>
      <c r="B101" t="s">
        <v>310</v>
      </c>
      <c r="C101" s="1">
        <v>45759</v>
      </c>
      <c r="D101" t="s">
        <v>95</v>
      </c>
      <c r="E101" t="s">
        <v>20</v>
      </c>
      <c r="F101" t="s">
        <v>81</v>
      </c>
      <c r="G101" t="s">
        <v>22</v>
      </c>
      <c r="H101">
        <v>2</v>
      </c>
      <c r="I101">
        <v>12048.66</v>
      </c>
      <c r="J101">
        <v>0.05</v>
      </c>
      <c r="K101">
        <v>9900</v>
      </c>
      <c r="L101">
        <f>sales[[#This Row],[Quantity]]*sales[[#This Row],[UnitPrice]]</f>
        <v>24097.32</v>
      </c>
      <c r="M101">
        <f>sales[[#This Row],[GrossSales]]*sales[[#This Row],[DiscountRate]]</f>
        <v>1204.866</v>
      </c>
      <c r="N101">
        <f>sales[[#This Row],[GrossSales]]-sales[[#This Row],[DiscountAmount]]</f>
        <v>22892.453999999998</v>
      </c>
      <c r="O101">
        <f>sales[[#This Row],[Quantity]]*sales[[#This Row],[UnitCostAtSale]]</f>
        <v>19800</v>
      </c>
      <c r="P101">
        <f>sales[[#This Row],[SalesAfterDiscount]]-sales[[#This Row],[CostOfGoodsSold]]</f>
        <v>3092.4539999999979</v>
      </c>
      <c r="Q101">
        <f>IFERROR(sales[[#This Row],[GrossProfit]]/sales[[#This Row],[SalesAfterDiscount]],0)</f>
        <v>0.1350861729371608</v>
      </c>
    </row>
    <row r="102" spans="1:17">
      <c r="A102" t="s">
        <v>311</v>
      </c>
      <c r="B102" t="s">
        <v>312</v>
      </c>
      <c r="C102" s="1">
        <v>45903</v>
      </c>
      <c r="D102" t="s">
        <v>313</v>
      </c>
      <c r="E102" t="s">
        <v>14</v>
      </c>
      <c r="F102" t="s">
        <v>148</v>
      </c>
      <c r="G102" t="s">
        <v>22</v>
      </c>
      <c r="H102">
        <v>2</v>
      </c>
      <c r="I102">
        <v>3335.18</v>
      </c>
      <c r="J102">
        <v>0.2</v>
      </c>
      <c r="K102">
        <v>2600</v>
      </c>
      <c r="L102">
        <f>sales[[#This Row],[Quantity]]*sales[[#This Row],[UnitPrice]]</f>
        <v>6670.36</v>
      </c>
      <c r="M102">
        <f>sales[[#This Row],[GrossSales]]*sales[[#This Row],[DiscountRate]]</f>
        <v>1334.0720000000001</v>
      </c>
      <c r="N102">
        <f>sales[[#This Row],[GrossSales]]-sales[[#This Row],[DiscountAmount]]</f>
        <v>5336.2879999999996</v>
      </c>
      <c r="O102">
        <f>sales[[#This Row],[Quantity]]*sales[[#This Row],[UnitCostAtSale]]</f>
        <v>5200</v>
      </c>
      <c r="P102">
        <f>sales[[#This Row],[SalesAfterDiscount]]-sales[[#This Row],[CostOfGoodsSold]]</f>
        <v>136.28799999999956</v>
      </c>
      <c r="Q102">
        <f>IFERROR(sales[[#This Row],[GrossProfit]]/sales[[#This Row],[SalesAfterDiscount]],0)</f>
        <v>2.5539850922588803E-2</v>
      </c>
    </row>
    <row r="103" spans="1:17">
      <c r="A103" t="s">
        <v>314</v>
      </c>
      <c r="B103" t="s">
        <v>315</v>
      </c>
      <c r="C103" s="1">
        <v>46119</v>
      </c>
      <c r="D103" t="s">
        <v>316</v>
      </c>
      <c r="E103" t="s">
        <v>20</v>
      </c>
      <c r="F103" t="s">
        <v>317</v>
      </c>
      <c r="G103" t="s">
        <v>22</v>
      </c>
      <c r="H103">
        <v>5</v>
      </c>
      <c r="I103">
        <v>9371.8700000000008</v>
      </c>
      <c r="J103">
        <v>0.15</v>
      </c>
      <c r="K103">
        <v>5750</v>
      </c>
      <c r="L103">
        <f>sales[[#This Row],[Quantity]]*sales[[#This Row],[UnitPrice]]</f>
        <v>46859.350000000006</v>
      </c>
      <c r="M103">
        <f>sales[[#This Row],[GrossSales]]*sales[[#This Row],[DiscountRate]]</f>
        <v>7028.9025000000011</v>
      </c>
      <c r="N103">
        <f>sales[[#This Row],[GrossSales]]-sales[[#This Row],[DiscountAmount]]</f>
        <v>39830.447500000002</v>
      </c>
      <c r="O103">
        <f>sales[[#This Row],[Quantity]]*sales[[#This Row],[UnitCostAtSale]]</f>
        <v>28750</v>
      </c>
      <c r="P103">
        <f>sales[[#This Row],[SalesAfterDiscount]]-sales[[#This Row],[CostOfGoodsSold]]</f>
        <v>11080.447500000002</v>
      </c>
      <c r="Q103">
        <f>IFERROR(sales[[#This Row],[GrossProfit]]/sales[[#This Row],[SalesAfterDiscount]],0)</f>
        <v>0.27819038437868421</v>
      </c>
    </row>
    <row r="104" spans="1:17">
      <c r="A104" t="s">
        <v>318</v>
      </c>
      <c r="B104" t="s">
        <v>319</v>
      </c>
      <c r="C104" s="1">
        <v>45947</v>
      </c>
      <c r="D104" t="s">
        <v>155</v>
      </c>
      <c r="E104" t="s">
        <v>50</v>
      </c>
      <c r="F104" t="s">
        <v>100</v>
      </c>
      <c r="G104" t="s">
        <v>22</v>
      </c>
      <c r="H104">
        <v>4</v>
      </c>
      <c r="I104">
        <v>17046.37</v>
      </c>
      <c r="J104">
        <v>0</v>
      </c>
      <c r="K104">
        <v>11700</v>
      </c>
      <c r="L104">
        <f>sales[[#This Row],[Quantity]]*sales[[#This Row],[UnitPrice]]</f>
        <v>68185.48</v>
      </c>
      <c r="M104">
        <f>sales[[#This Row],[GrossSales]]*sales[[#This Row],[DiscountRate]]</f>
        <v>0</v>
      </c>
      <c r="N104">
        <f>sales[[#This Row],[GrossSales]]-sales[[#This Row],[DiscountAmount]]</f>
        <v>68185.48</v>
      </c>
      <c r="O104">
        <f>sales[[#This Row],[Quantity]]*sales[[#This Row],[UnitCostAtSale]]</f>
        <v>46800</v>
      </c>
      <c r="P104">
        <f>sales[[#This Row],[SalesAfterDiscount]]-sales[[#This Row],[CostOfGoodsSold]]</f>
        <v>21385.479999999996</v>
      </c>
      <c r="Q104">
        <f>IFERROR(sales[[#This Row],[GrossProfit]]/sales[[#This Row],[SalesAfterDiscount]],0)</f>
        <v>0.31363686227624998</v>
      </c>
    </row>
    <row r="105" spans="1:17">
      <c r="A105" t="s">
        <v>320</v>
      </c>
      <c r="B105" t="s">
        <v>321</v>
      </c>
      <c r="C105" s="1">
        <v>45775</v>
      </c>
      <c r="D105" t="s">
        <v>316</v>
      </c>
      <c r="E105" t="s">
        <v>50</v>
      </c>
      <c r="F105" t="s">
        <v>266</v>
      </c>
      <c r="G105" t="s">
        <v>22</v>
      </c>
      <c r="H105">
        <v>5</v>
      </c>
      <c r="I105">
        <v>9371.8700000000008</v>
      </c>
      <c r="J105">
        <v>0.05</v>
      </c>
      <c r="K105">
        <v>5750</v>
      </c>
      <c r="L105">
        <f>sales[[#This Row],[Quantity]]*sales[[#This Row],[UnitPrice]]</f>
        <v>46859.350000000006</v>
      </c>
      <c r="M105">
        <f>sales[[#This Row],[GrossSales]]*sales[[#This Row],[DiscountRate]]</f>
        <v>2342.9675000000002</v>
      </c>
      <c r="N105">
        <f>sales[[#This Row],[GrossSales]]-sales[[#This Row],[DiscountAmount]]</f>
        <v>44516.382500000007</v>
      </c>
      <c r="O105">
        <f>sales[[#This Row],[Quantity]]*sales[[#This Row],[UnitCostAtSale]]</f>
        <v>28750</v>
      </c>
      <c r="P105">
        <f>sales[[#This Row],[SalesAfterDiscount]]-sales[[#This Row],[CostOfGoodsSold]]</f>
        <v>15766.382500000007</v>
      </c>
      <c r="Q105">
        <f>IFERROR(sales[[#This Row],[GrossProfit]]/sales[[#This Row],[SalesAfterDiscount]],0)</f>
        <v>0.35417034391777014</v>
      </c>
    </row>
    <row r="106" spans="1:17">
      <c r="A106" t="s">
        <v>322</v>
      </c>
      <c r="B106" t="s">
        <v>323</v>
      </c>
      <c r="C106" s="1">
        <v>45719</v>
      </c>
      <c r="D106" t="s">
        <v>71</v>
      </c>
      <c r="E106" t="s">
        <v>46</v>
      </c>
      <c r="F106" t="s">
        <v>324</v>
      </c>
      <c r="G106" t="s">
        <v>16</v>
      </c>
      <c r="H106">
        <v>2</v>
      </c>
      <c r="I106">
        <v>5799.34</v>
      </c>
      <c r="J106">
        <v>0.1</v>
      </c>
      <c r="K106">
        <v>3800</v>
      </c>
      <c r="L106">
        <f>sales[[#This Row],[Quantity]]*sales[[#This Row],[UnitPrice]]</f>
        <v>11598.68</v>
      </c>
      <c r="M106">
        <f>sales[[#This Row],[GrossSales]]*sales[[#This Row],[DiscountRate]]</f>
        <v>1159.8680000000002</v>
      </c>
      <c r="N106">
        <f>sales[[#This Row],[GrossSales]]-sales[[#This Row],[DiscountAmount]]</f>
        <v>10438.812</v>
      </c>
      <c r="O106">
        <f>sales[[#This Row],[Quantity]]*sales[[#This Row],[UnitCostAtSale]]</f>
        <v>7600</v>
      </c>
      <c r="P106">
        <f>sales[[#This Row],[SalesAfterDiscount]]-sales[[#This Row],[CostOfGoodsSold]]</f>
        <v>2838.8119999999999</v>
      </c>
      <c r="Q106">
        <f>IFERROR(sales[[#This Row],[GrossProfit]]/sales[[#This Row],[SalesAfterDiscount]],0)</f>
        <v>0.27194780402214352</v>
      </c>
    </row>
    <row r="107" spans="1:17">
      <c r="A107" t="s">
        <v>325</v>
      </c>
      <c r="B107" t="s">
        <v>326</v>
      </c>
      <c r="C107" s="1">
        <v>45785</v>
      </c>
      <c r="D107" t="s">
        <v>112</v>
      </c>
      <c r="E107" t="s">
        <v>72</v>
      </c>
      <c r="F107" t="s">
        <v>266</v>
      </c>
      <c r="G107" t="s">
        <v>16</v>
      </c>
      <c r="H107">
        <v>4</v>
      </c>
      <c r="I107">
        <v>10868.14</v>
      </c>
      <c r="J107">
        <v>0.1</v>
      </c>
      <c r="K107">
        <v>8850</v>
      </c>
      <c r="L107">
        <f>sales[[#This Row],[Quantity]]*sales[[#This Row],[UnitPrice]]</f>
        <v>43472.56</v>
      </c>
      <c r="M107">
        <f>sales[[#This Row],[GrossSales]]*sales[[#This Row],[DiscountRate]]</f>
        <v>4347.2560000000003</v>
      </c>
      <c r="N107">
        <f>sales[[#This Row],[GrossSales]]-sales[[#This Row],[DiscountAmount]]</f>
        <v>39125.303999999996</v>
      </c>
      <c r="O107">
        <f>sales[[#This Row],[Quantity]]*sales[[#This Row],[UnitCostAtSale]]</f>
        <v>35400</v>
      </c>
      <c r="P107">
        <f>sales[[#This Row],[SalesAfterDiscount]]-sales[[#This Row],[CostOfGoodsSold]]</f>
        <v>3725.3039999999964</v>
      </c>
      <c r="Q107">
        <f>IFERROR(sales[[#This Row],[GrossProfit]]/sales[[#This Row],[SalesAfterDiscount]],0)</f>
        <v>9.5214697884519875E-2</v>
      </c>
    </row>
    <row r="108" spans="1:17">
      <c r="A108" t="s">
        <v>327</v>
      </c>
      <c r="B108" t="s">
        <v>328</v>
      </c>
      <c r="C108" s="1">
        <v>45740</v>
      </c>
      <c r="D108" t="s">
        <v>112</v>
      </c>
      <c r="E108" t="s">
        <v>72</v>
      </c>
      <c r="F108" t="s">
        <v>329</v>
      </c>
      <c r="G108" t="s">
        <v>16</v>
      </c>
      <c r="H108">
        <v>5</v>
      </c>
      <c r="I108">
        <v>10868.14</v>
      </c>
      <c r="J108">
        <v>0</v>
      </c>
      <c r="K108">
        <v>8850</v>
      </c>
      <c r="L108">
        <f>sales[[#This Row],[Quantity]]*sales[[#This Row],[UnitPrice]]</f>
        <v>54340.7</v>
      </c>
      <c r="M108">
        <f>sales[[#This Row],[GrossSales]]*sales[[#This Row],[DiscountRate]]</f>
        <v>0</v>
      </c>
      <c r="N108">
        <f>sales[[#This Row],[GrossSales]]-sales[[#This Row],[DiscountAmount]]</f>
        <v>54340.7</v>
      </c>
      <c r="O108">
        <f>sales[[#This Row],[Quantity]]*sales[[#This Row],[UnitCostAtSale]]</f>
        <v>44250</v>
      </c>
      <c r="P108">
        <f>sales[[#This Row],[SalesAfterDiscount]]-sales[[#This Row],[CostOfGoodsSold]]</f>
        <v>10090.699999999997</v>
      </c>
      <c r="Q108">
        <f>IFERROR(sales[[#This Row],[GrossProfit]]/sales[[#This Row],[SalesAfterDiscount]],0)</f>
        <v>0.18569322809606792</v>
      </c>
    </row>
    <row r="109" spans="1:17">
      <c r="A109" t="s">
        <v>330</v>
      </c>
      <c r="B109" t="s">
        <v>331</v>
      </c>
      <c r="C109" s="1">
        <v>45914</v>
      </c>
      <c r="D109" t="s">
        <v>95</v>
      </c>
      <c r="E109" t="s">
        <v>50</v>
      </c>
      <c r="F109" t="s">
        <v>57</v>
      </c>
      <c r="G109" t="s">
        <v>22</v>
      </c>
      <c r="H109">
        <v>1</v>
      </c>
      <c r="I109">
        <v>12048.66</v>
      </c>
      <c r="J109">
        <v>0</v>
      </c>
      <c r="K109">
        <v>9900</v>
      </c>
      <c r="L109">
        <f>sales[[#This Row],[Quantity]]*sales[[#This Row],[UnitPrice]]</f>
        <v>12048.66</v>
      </c>
      <c r="M109">
        <f>sales[[#This Row],[GrossSales]]*sales[[#This Row],[DiscountRate]]</f>
        <v>0</v>
      </c>
      <c r="N109">
        <f>sales[[#This Row],[GrossSales]]-sales[[#This Row],[DiscountAmount]]</f>
        <v>12048.66</v>
      </c>
      <c r="O109">
        <f>sales[[#This Row],[Quantity]]*sales[[#This Row],[UnitCostAtSale]]</f>
        <v>9900</v>
      </c>
      <c r="P109">
        <f>sales[[#This Row],[SalesAfterDiscount]]-sales[[#This Row],[CostOfGoodsSold]]</f>
        <v>2148.66</v>
      </c>
      <c r="Q109">
        <f>IFERROR(sales[[#This Row],[GrossProfit]]/sales[[#This Row],[SalesAfterDiscount]],0)</f>
        <v>0.17833186429030282</v>
      </c>
    </row>
    <row r="110" spans="1:17">
      <c r="A110" t="s">
        <v>332</v>
      </c>
      <c r="B110" t="s">
        <v>333</v>
      </c>
      <c r="C110" s="1">
        <v>45933</v>
      </c>
      <c r="D110" t="s">
        <v>202</v>
      </c>
      <c r="E110" t="s">
        <v>50</v>
      </c>
      <c r="F110" t="s">
        <v>183</v>
      </c>
      <c r="G110" t="s">
        <v>16</v>
      </c>
      <c r="H110">
        <v>5</v>
      </c>
      <c r="I110">
        <v>3559.5</v>
      </c>
      <c r="J110">
        <v>0</v>
      </c>
      <c r="K110">
        <v>2250</v>
      </c>
      <c r="L110">
        <f>sales[[#This Row],[Quantity]]*sales[[#This Row],[UnitPrice]]</f>
        <v>17797.5</v>
      </c>
      <c r="M110">
        <f>sales[[#This Row],[GrossSales]]*sales[[#This Row],[DiscountRate]]</f>
        <v>0</v>
      </c>
      <c r="N110">
        <f>sales[[#This Row],[GrossSales]]-sales[[#This Row],[DiscountAmount]]</f>
        <v>17797.5</v>
      </c>
      <c r="O110">
        <f>sales[[#This Row],[Quantity]]*sales[[#This Row],[UnitCostAtSale]]</f>
        <v>11250</v>
      </c>
      <c r="P110">
        <f>sales[[#This Row],[SalesAfterDiscount]]-sales[[#This Row],[CostOfGoodsSold]]</f>
        <v>6547.5</v>
      </c>
      <c r="Q110">
        <f>IFERROR(sales[[#This Row],[GrossProfit]]/sales[[#This Row],[SalesAfterDiscount]],0)</f>
        <v>0.36788874841972186</v>
      </c>
    </row>
    <row r="111" spans="1:17">
      <c r="A111" t="s">
        <v>334</v>
      </c>
      <c r="B111" t="s">
        <v>335</v>
      </c>
      <c r="C111" s="1">
        <v>45942</v>
      </c>
      <c r="D111" t="s">
        <v>99</v>
      </c>
      <c r="E111" t="s">
        <v>72</v>
      </c>
      <c r="F111" t="s">
        <v>123</v>
      </c>
      <c r="G111" t="s">
        <v>16</v>
      </c>
      <c r="H111">
        <v>2</v>
      </c>
      <c r="I111">
        <v>10644.48</v>
      </c>
      <c r="J111">
        <v>0.2</v>
      </c>
      <c r="K111">
        <v>7050</v>
      </c>
      <c r="L111">
        <f>sales[[#This Row],[Quantity]]*sales[[#This Row],[UnitPrice]]</f>
        <v>21288.959999999999</v>
      </c>
      <c r="M111">
        <f>sales[[#This Row],[GrossSales]]*sales[[#This Row],[DiscountRate]]</f>
        <v>4257.7920000000004</v>
      </c>
      <c r="N111">
        <f>sales[[#This Row],[GrossSales]]-sales[[#This Row],[DiscountAmount]]</f>
        <v>17031.167999999998</v>
      </c>
      <c r="O111">
        <f>sales[[#This Row],[Quantity]]*sales[[#This Row],[UnitCostAtSale]]</f>
        <v>14100</v>
      </c>
      <c r="P111">
        <f>sales[[#This Row],[SalesAfterDiscount]]-sales[[#This Row],[CostOfGoodsSold]]</f>
        <v>2931.1679999999978</v>
      </c>
      <c r="Q111">
        <f>IFERROR(sales[[#This Row],[GrossProfit]]/sales[[#This Row],[SalesAfterDiscount]],0)</f>
        <v>0.1721061056998556</v>
      </c>
    </row>
    <row r="112" spans="1:17">
      <c r="A112" t="s">
        <v>336</v>
      </c>
      <c r="B112" t="s">
        <v>337</v>
      </c>
      <c r="C112" s="1">
        <v>46139</v>
      </c>
      <c r="D112" t="s">
        <v>71</v>
      </c>
      <c r="E112" t="s">
        <v>20</v>
      </c>
      <c r="F112" t="s">
        <v>172</v>
      </c>
      <c r="G112" t="s">
        <v>22</v>
      </c>
      <c r="H112">
        <v>3</v>
      </c>
      <c r="I112">
        <v>5799.34</v>
      </c>
      <c r="J112">
        <v>0.15</v>
      </c>
      <c r="K112">
        <v>3800</v>
      </c>
      <c r="L112">
        <f>sales[[#This Row],[Quantity]]*sales[[#This Row],[UnitPrice]]</f>
        <v>17398.02</v>
      </c>
      <c r="M112">
        <f>sales[[#This Row],[GrossSales]]*sales[[#This Row],[DiscountRate]]</f>
        <v>2609.703</v>
      </c>
      <c r="N112">
        <f>sales[[#This Row],[GrossSales]]-sales[[#This Row],[DiscountAmount]]</f>
        <v>14788.317000000001</v>
      </c>
      <c r="O112">
        <f>sales[[#This Row],[Quantity]]*sales[[#This Row],[UnitCostAtSale]]</f>
        <v>11400</v>
      </c>
      <c r="P112">
        <f>sales[[#This Row],[SalesAfterDiscount]]-sales[[#This Row],[CostOfGoodsSold]]</f>
        <v>3388.3170000000009</v>
      </c>
      <c r="Q112">
        <f>IFERROR(sales[[#This Row],[GrossProfit]]/sales[[#This Row],[SalesAfterDiscount]],0)</f>
        <v>0.22912120425874025</v>
      </c>
    </row>
    <row r="113" spans="1:17">
      <c r="A113" t="s">
        <v>338</v>
      </c>
      <c r="B113" t="s">
        <v>339</v>
      </c>
      <c r="C113" s="1">
        <v>45822</v>
      </c>
      <c r="D113" t="s">
        <v>76</v>
      </c>
      <c r="E113" t="s">
        <v>72</v>
      </c>
      <c r="F113" t="s">
        <v>109</v>
      </c>
      <c r="G113" t="s">
        <v>16</v>
      </c>
      <c r="H113">
        <v>3</v>
      </c>
      <c r="I113">
        <v>11999.07</v>
      </c>
      <c r="J113">
        <v>0.15</v>
      </c>
      <c r="K113">
        <v>9550</v>
      </c>
      <c r="L113">
        <f>sales[[#This Row],[Quantity]]*sales[[#This Row],[UnitPrice]]</f>
        <v>35997.21</v>
      </c>
      <c r="M113">
        <f>sales[[#This Row],[GrossSales]]*sales[[#This Row],[DiscountRate]]</f>
        <v>5399.5814999999993</v>
      </c>
      <c r="N113">
        <f>sales[[#This Row],[GrossSales]]-sales[[#This Row],[DiscountAmount]]</f>
        <v>30597.628499999999</v>
      </c>
      <c r="O113">
        <f>sales[[#This Row],[Quantity]]*sales[[#This Row],[UnitCostAtSale]]</f>
        <v>28650</v>
      </c>
      <c r="P113">
        <f>sales[[#This Row],[SalesAfterDiscount]]-sales[[#This Row],[CostOfGoodsSold]]</f>
        <v>1947.6284999999989</v>
      </c>
      <c r="Q113">
        <f>IFERROR(sales[[#This Row],[GrossProfit]]/sales[[#This Row],[SalesAfterDiscount]],0)</f>
        <v>6.3652923297633959E-2</v>
      </c>
    </row>
    <row r="114" spans="1:17">
      <c r="A114" t="s">
        <v>340</v>
      </c>
      <c r="B114" t="s">
        <v>341</v>
      </c>
      <c r="C114" s="1">
        <v>45695</v>
      </c>
      <c r="D114" t="s">
        <v>126</v>
      </c>
      <c r="E114" t="s">
        <v>20</v>
      </c>
      <c r="F114" t="s">
        <v>298</v>
      </c>
      <c r="G114" t="s">
        <v>16</v>
      </c>
      <c r="H114">
        <v>4</v>
      </c>
      <c r="I114">
        <v>17523.439999999999</v>
      </c>
      <c r="J114">
        <v>0</v>
      </c>
      <c r="K114">
        <v>11850</v>
      </c>
      <c r="L114">
        <f>sales[[#This Row],[Quantity]]*sales[[#This Row],[UnitPrice]]</f>
        <v>70093.759999999995</v>
      </c>
      <c r="M114">
        <f>sales[[#This Row],[GrossSales]]*sales[[#This Row],[DiscountRate]]</f>
        <v>0</v>
      </c>
      <c r="N114">
        <f>sales[[#This Row],[GrossSales]]-sales[[#This Row],[DiscountAmount]]</f>
        <v>70093.759999999995</v>
      </c>
      <c r="O114">
        <f>sales[[#This Row],[Quantity]]*sales[[#This Row],[UnitCostAtSale]]</f>
        <v>47400</v>
      </c>
      <c r="P114">
        <f>sales[[#This Row],[SalesAfterDiscount]]-sales[[#This Row],[CostOfGoodsSold]]</f>
        <v>22693.759999999995</v>
      </c>
      <c r="Q114">
        <f>IFERROR(sales[[#This Row],[GrossProfit]]/sales[[#This Row],[SalesAfterDiscount]],0)</f>
        <v>0.32376291413101532</v>
      </c>
    </row>
    <row r="115" spans="1:17">
      <c r="A115" t="s">
        <v>342</v>
      </c>
      <c r="B115" t="s">
        <v>343</v>
      </c>
      <c r="C115" s="1">
        <v>46071</v>
      </c>
      <c r="D115" t="s">
        <v>37</v>
      </c>
      <c r="E115" t="s">
        <v>46</v>
      </c>
      <c r="F115" t="s">
        <v>199</v>
      </c>
      <c r="G115" t="s">
        <v>16</v>
      </c>
      <c r="H115">
        <v>5</v>
      </c>
      <c r="I115">
        <v>17336.23</v>
      </c>
      <c r="J115">
        <v>0</v>
      </c>
      <c r="K115">
        <v>14200</v>
      </c>
      <c r="L115">
        <f>sales[[#This Row],[Quantity]]*sales[[#This Row],[UnitPrice]]</f>
        <v>86681.15</v>
      </c>
      <c r="M115">
        <f>sales[[#This Row],[GrossSales]]*sales[[#This Row],[DiscountRate]]</f>
        <v>0</v>
      </c>
      <c r="N115">
        <f>sales[[#This Row],[GrossSales]]-sales[[#This Row],[DiscountAmount]]</f>
        <v>86681.15</v>
      </c>
      <c r="O115">
        <f>sales[[#This Row],[Quantity]]*sales[[#This Row],[UnitCostAtSale]]</f>
        <v>71000</v>
      </c>
      <c r="P115">
        <f>sales[[#This Row],[SalesAfterDiscount]]-sales[[#This Row],[CostOfGoodsSold]]</f>
        <v>15681.149999999994</v>
      </c>
      <c r="Q115">
        <f>IFERROR(sales[[#This Row],[GrossProfit]]/sales[[#This Row],[SalesAfterDiscount]],0)</f>
        <v>0.18090611395903256</v>
      </c>
    </row>
    <row r="116" spans="1:17">
      <c r="A116" t="s">
        <v>344</v>
      </c>
      <c r="B116" t="s">
        <v>345</v>
      </c>
      <c r="C116" s="1">
        <v>45850</v>
      </c>
      <c r="D116" t="s">
        <v>60</v>
      </c>
      <c r="E116" t="s">
        <v>46</v>
      </c>
      <c r="F116" t="s">
        <v>206</v>
      </c>
      <c r="G116" t="s">
        <v>16</v>
      </c>
      <c r="H116">
        <v>5</v>
      </c>
      <c r="I116">
        <v>9389.4699999999993</v>
      </c>
      <c r="J116">
        <v>0.1</v>
      </c>
      <c r="K116">
        <v>7250</v>
      </c>
      <c r="L116">
        <f>sales[[#This Row],[Quantity]]*sales[[#This Row],[UnitPrice]]</f>
        <v>46947.35</v>
      </c>
      <c r="M116">
        <f>sales[[#This Row],[GrossSales]]*sales[[#This Row],[DiscountRate]]</f>
        <v>4694.7349999999997</v>
      </c>
      <c r="N116">
        <f>sales[[#This Row],[GrossSales]]-sales[[#This Row],[DiscountAmount]]</f>
        <v>42252.614999999998</v>
      </c>
      <c r="O116">
        <f>sales[[#This Row],[Quantity]]*sales[[#This Row],[UnitCostAtSale]]</f>
        <v>36250</v>
      </c>
      <c r="P116">
        <f>sales[[#This Row],[SalesAfterDiscount]]-sales[[#This Row],[CostOfGoodsSold]]</f>
        <v>6002.614999999998</v>
      </c>
      <c r="Q116">
        <f>IFERROR(sales[[#This Row],[GrossProfit]]/sales[[#This Row],[SalesAfterDiscount]],0)</f>
        <v>0.14206493491586256</v>
      </c>
    </row>
    <row r="117" spans="1:17">
      <c r="A117" t="s">
        <v>346</v>
      </c>
      <c r="B117" t="s">
        <v>347</v>
      </c>
      <c r="C117" s="1">
        <v>46110</v>
      </c>
      <c r="D117" t="s">
        <v>130</v>
      </c>
      <c r="E117" t="s">
        <v>20</v>
      </c>
      <c r="F117" t="s">
        <v>203</v>
      </c>
      <c r="G117" t="s">
        <v>22</v>
      </c>
      <c r="H117">
        <v>1</v>
      </c>
      <c r="I117">
        <v>12166.11</v>
      </c>
      <c r="J117">
        <v>0.05</v>
      </c>
      <c r="K117">
        <v>7750</v>
      </c>
      <c r="L117">
        <f>sales[[#This Row],[Quantity]]*sales[[#This Row],[UnitPrice]]</f>
        <v>12166.11</v>
      </c>
      <c r="M117">
        <f>sales[[#This Row],[GrossSales]]*sales[[#This Row],[DiscountRate]]</f>
        <v>608.30550000000005</v>
      </c>
      <c r="N117">
        <f>sales[[#This Row],[GrossSales]]-sales[[#This Row],[DiscountAmount]]</f>
        <v>11557.8045</v>
      </c>
      <c r="O117">
        <f>sales[[#This Row],[Quantity]]*sales[[#This Row],[UnitCostAtSale]]</f>
        <v>7750</v>
      </c>
      <c r="P117">
        <f>sales[[#This Row],[SalesAfterDiscount]]-sales[[#This Row],[CostOfGoodsSold]]</f>
        <v>3807.8045000000002</v>
      </c>
      <c r="Q117">
        <f>IFERROR(sales[[#This Row],[GrossProfit]]/sales[[#This Row],[SalesAfterDiscount]],0)</f>
        <v>0.32945742420197538</v>
      </c>
    </row>
    <row r="118" spans="1:17">
      <c r="A118" t="s">
        <v>348</v>
      </c>
      <c r="B118" t="s">
        <v>349</v>
      </c>
      <c r="C118" s="1">
        <v>45952</v>
      </c>
      <c r="D118" t="s">
        <v>99</v>
      </c>
      <c r="E118" t="s">
        <v>14</v>
      </c>
      <c r="F118" t="s">
        <v>145</v>
      </c>
      <c r="G118" t="s">
        <v>22</v>
      </c>
      <c r="H118">
        <v>4</v>
      </c>
      <c r="I118">
        <v>10644.48</v>
      </c>
      <c r="J118">
        <v>0.15</v>
      </c>
      <c r="K118">
        <v>7050</v>
      </c>
      <c r="L118">
        <f>sales[[#This Row],[Quantity]]*sales[[#This Row],[UnitPrice]]</f>
        <v>42577.919999999998</v>
      </c>
      <c r="M118">
        <f>sales[[#This Row],[GrossSales]]*sales[[#This Row],[DiscountRate]]</f>
        <v>6386.6879999999992</v>
      </c>
      <c r="N118">
        <f>sales[[#This Row],[GrossSales]]-sales[[#This Row],[DiscountAmount]]</f>
        <v>36191.231999999996</v>
      </c>
      <c r="O118">
        <f>sales[[#This Row],[Quantity]]*sales[[#This Row],[UnitCostAtSale]]</f>
        <v>28200</v>
      </c>
      <c r="P118">
        <f>sales[[#This Row],[SalesAfterDiscount]]-sales[[#This Row],[CostOfGoodsSold]]</f>
        <v>7991.2319999999963</v>
      </c>
      <c r="Q118">
        <f>IFERROR(sales[[#This Row],[GrossProfit]]/sales[[#This Row],[SalesAfterDiscount]],0)</f>
        <v>0.22080574654104057</v>
      </c>
    </row>
    <row r="119" spans="1:17">
      <c r="A119" t="s">
        <v>350</v>
      </c>
      <c r="B119" t="s">
        <v>351</v>
      </c>
      <c r="C119" s="1">
        <v>45820</v>
      </c>
      <c r="D119" t="s">
        <v>175</v>
      </c>
      <c r="E119" t="s">
        <v>14</v>
      </c>
      <c r="F119" t="s">
        <v>203</v>
      </c>
      <c r="G119" t="s">
        <v>16</v>
      </c>
      <c r="H119">
        <v>3</v>
      </c>
      <c r="I119">
        <v>2403.0700000000002</v>
      </c>
      <c r="J119">
        <v>0.2</v>
      </c>
      <c r="K119">
        <v>2000</v>
      </c>
      <c r="L119">
        <f>sales[[#This Row],[Quantity]]*sales[[#This Row],[UnitPrice]]</f>
        <v>7209.2100000000009</v>
      </c>
      <c r="M119">
        <f>sales[[#This Row],[GrossSales]]*sales[[#This Row],[DiscountRate]]</f>
        <v>1441.8420000000003</v>
      </c>
      <c r="N119">
        <f>sales[[#This Row],[GrossSales]]-sales[[#This Row],[DiscountAmount]]</f>
        <v>5767.3680000000004</v>
      </c>
      <c r="O119">
        <f>sales[[#This Row],[Quantity]]*sales[[#This Row],[UnitCostAtSale]]</f>
        <v>6000</v>
      </c>
      <c r="P119">
        <f>sales[[#This Row],[SalesAfterDiscount]]-sales[[#This Row],[CostOfGoodsSold]]</f>
        <v>-232.63199999999961</v>
      </c>
      <c r="Q119">
        <f>IFERROR(sales[[#This Row],[GrossProfit]]/sales[[#This Row],[SalesAfterDiscount]],0)</f>
        <v>-4.0335903656572566E-2</v>
      </c>
    </row>
    <row r="120" spans="1:17">
      <c r="A120" t="s">
        <v>352</v>
      </c>
      <c r="B120" t="s">
        <v>353</v>
      </c>
      <c r="C120" s="1">
        <v>45888</v>
      </c>
      <c r="D120" t="s">
        <v>71</v>
      </c>
      <c r="E120" t="s">
        <v>14</v>
      </c>
      <c r="F120" t="s">
        <v>257</v>
      </c>
      <c r="G120" t="s">
        <v>22</v>
      </c>
      <c r="H120">
        <v>1</v>
      </c>
      <c r="I120">
        <v>5799.34</v>
      </c>
      <c r="J120">
        <v>0.15</v>
      </c>
      <c r="K120">
        <v>3800</v>
      </c>
      <c r="L120">
        <f>sales[[#This Row],[Quantity]]*sales[[#This Row],[UnitPrice]]</f>
        <v>5799.34</v>
      </c>
      <c r="M120">
        <f>sales[[#This Row],[GrossSales]]*sales[[#This Row],[DiscountRate]]</f>
        <v>869.90099999999995</v>
      </c>
      <c r="N120">
        <f>sales[[#This Row],[GrossSales]]-sales[[#This Row],[DiscountAmount]]</f>
        <v>4929.4390000000003</v>
      </c>
      <c r="O120">
        <f>sales[[#This Row],[Quantity]]*sales[[#This Row],[UnitCostAtSale]]</f>
        <v>3800</v>
      </c>
      <c r="P120">
        <f>sales[[#This Row],[SalesAfterDiscount]]-sales[[#This Row],[CostOfGoodsSold]]</f>
        <v>1129.4390000000003</v>
      </c>
      <c r="Q120">
        <f>IFERROR(sales[[#This Row],[GrossProfit]]/sales[[#This Row],[SalesAfterDiscount]],0)</f>
        <v>0.22912120425874025</v>
      </c>
    </row>
    <row r="121" spans="1:17">
      <c r="A121" t="s">
        <v>354</v>
      </c>
      <c r="B121" t="s">
        <v>355</v>
      </c>
      <c r="C121" s="1">
        <v>45956</v>
      </c>
      <c r="D121" t="s">
        <v>19</v>
      </c>
      <c r="E121" t="s">
        <v>72</v>
      </c>
      <c r="F121" t="s">
        <v>73</v>
      </c>
      <c r="G121" t="s">
        <v>16</v>
      </c>
      <c r="H121">
        <v>5</v>
      </c>
      <c r="I121">
        <v>12193.29</v>
      </c>
      <c r="J121">
        <v>0.1</v>
      </c>
      <c r="K121">
        <v>9950</v>
      </c>
      <c r="L121">
        <f>sales[[#This Row],[Quantity]]*sales[[#This Row],[UnitPrice]]</f>
        <v>60966.450000000004</v>
      </c>
      <c r="M121">
        <f>sales[[#This Row],[GrossSales]]*sales[[#This Row],[DiscountRate]]</f>
        <v>6096.6450000000004</v>
      </c>
      <c r="N121">
        <f>sales[[#This Row],[GrossSales]]-sales[[#This Row],[DiscountAmount]]</f>
        <v>54869.805000000008</v>
      </c>
      <c r="O121">
        <f>sales[[#This Row],[Quantity]]*sales[[#This Row],[UnitCostAtSale]]</f>
        <v>49750</v>
      </c>
      <c r="P121">
        <f>sales[[#This Row],[SalesAfterDiscount]]-sales[[#This Row],[CostOfGoodsSold]]</f>
        <v>5119.8050000000076</v>
      </c>
      <c r="Q121">
        <f>IFERROR(sales[[#This Row],[GrossProfit]]/sales[[#This Row],[SalesAfterDiscount]],0)</f>
        <v>9.3308241208438905E-2</v>
      </c>
    </row>
    <row r="122" spans="1:17">
      <c r="A122" t="s">
        <v>356</v>
      </c>
      <c r="B122" t="s">
        <v>357</v>
      </c>
      <c r="C122" s="1">
        <v>46125</v>
      </c>
      <c r="D122" t="s">
        <v>25</v>
      </c>
      <c r="E122" t="s">
        <v>72</v>
      </c>
      <c r="F122" t="s">
        <v>61</v>
      </c>
      <c r="G122" t="s">
        <v>22</v>
      </c>
      <c r="H122">
        <v>5</v>
      </c>
      <c r="I122">
        <v>18592.419999999998</v>
      </c>
      <c r="J122">
        <v>0.05</v>
      </c>
      <c r="K122">
        <v>14600</v>
      </c>
      <c r="L122">
        <f>sales[[#This Row],[Quantity]]*sales[[#This Row],[UnitPrice]]</f>
        <v>92962.099999999991</v>
      </c>
      <c r="M122">
        <f>sales[[#This Row],[GrossSales]]*sales[[#This Row],[DiscountRate]]</f>
        <v>4648.1049999999996</v>
      </c>
      <c r="N122">
        <f>sales[[#This Row],[GrossSales]]-sales[[#This Row],[DiscountAmount]]</f>
        <v>88313.994999999995</v>
      </c>
      <c r="O122">
        <f>sales[[#This Row],[Quantity]]*sales[[#This Row],[UnitCostAtSale]]</f>
        <v>73000</v>
      </c>
      <c r="P122">
        <f>sales[[#This Row],[SalesAfterDiscount]]-sales[[#This Row],[CostOfGoodsSold]]</f>
        <v>15313.994999999995</v>
      </c>
      <c r="Q122">
        <f>IFERROR(sales[[#This Row],[GrossProfit]]/sales[[#This Row],[SalesAfterDiscount]],0)</f>
        <v>0.17340394350861374</v>
      </c>
    </row>
    <row r="123" spans="1:17">
      <c r="A123" t="s">
        <v>358</v>
      </c>
      <c r="B123" t="s">
        <v>359</v>
      </c>
      <c r="C123" s="1">
        <v>45729</v>
      </c>
      <c r="D123" t="s">
        <v>76</v>
      </c>
      <c r="E123" t="s">
        <v>20</v>
      </c>
      <c r="F123" t="s">
        <v>106</v>
      </c>
      <c r="G123" t="s">
        <v>16</v>
      </c>
      <c r="H123">
        <v>3</v>
      </c>
      <c r="I123">
        <v>11999.07</v>
      </c>
      <c r="J123">
        <v>0.15</v>
      </c>
      <c r="K123">
        <v>9550</v>
      </c>
      <c r="L123">
        <f>sales[[#This Row],[Quantity]]*sales[[#This Row],[UnitPrice]]</f>
        <v>35997.21</v>
      </c>
      <c r="M123">
        <f>sales[[#This Row],[GrossSales]]*sales[[#This Row],[DiscountRate]]</f>
        <v>5399.5814999999993</v>
      </c>
      <c r="N123">
        <f>sales[[#This Row],[GrossSales]]-sales[[#This Row],[DiscountAmount]]</f>
        <v>30597.628499999999</v>
      </c>
      <c r="O123">
        <f>sales[[#This Row],[Quantity]]*sales[[#This Row],[UnitCostAtSale]]</f>
        <v>28650</v>
      </c>
      <c r="P123">
        <f>sales[[#This Row],[SalesAfterDiscount]]-sales[[#This Row],[CostOfGoodsSold]]</f>
        <v>1947.6284999999989</v>
      </c>
      <c r="Q123">
        <f>IFERROR(sales[[#This Row],[GrossProfit]]/sales[[#This Row],[SalesAfterDiscount]],0)</f>
        <v>6.3652923297633959E-2</v>
      </c>
    </row>
    <row r="124" spans="1:17">
      <c r="A124" t="s">
        <v>360</v>
      </c>
      <c r="B124" t="s">
        <v>361</v>
      </c>
      <c r="C124" s="1">
        <v>45660</v>
      </c>
      <c r="D124" t="s">
        <v>126</v>
      </c>
      <c r="E124" t="s">
        <v>46</v>
      </c>
      <c r="F124" t="s">
        <v>84</v>
      </c>
      <c r="G124" t="s">
        <v>16</v>
      </c>
      <c r="H124">
        <v>3</v>
      </c>
      <c r="I124">
        <v>17523.439999999999</v>
      </c>
      <c r="J124">
        <v>0.1</v>
      </c>
      <c r="K124">
        <v>11850</v>
      </c>
      <c r="L124">
        <f>sales[[#This Row],[Quantity]]*sales[[#This Row],[UnitPrice]]</f>
        <v>52570.319999999992</v>
      </c>
      <c r="M124">
        <f>sales[[#This Row],[GrossSales]]*sales[[#This Row],[DiscountRate]]</f>
        <v>5257.0319999999992</v>
      </c>
      <c r="N124">
        <f>sales[[#This Row],[GrossSales]]-sales[[#This Row],[DiscountAmount]]</f>
        <v>47313.287999999993</v>
      </c>
      <c r="O124">
        <f>sales[[#This Row],[Quantity]]*sales[[#This Row],[UnitCostAtSale]]</f>
        <v>35550</v>
      </c>
      <c r="P124">
        <f>sales[[#This Row],[SalesAfterDiscount]]-sales[[#This Row],[CostOfGoodsSold]]</f>
        <v>11763.287999999993</v>
      </c>
      <c r="Q124">
        <f>IFERROR(sales[[#This Row],[GrossProfit]]/sales[[#This Row],[SalesAfterDiscount]],0)</f>
        <v>0.24862546014557252</v>
      </c>
    </row>
    <row r="125" spans="1:17">
      <c r="A125" t="s">
        <v>362</v>
      </c>
      <c r="B125" t="s">
        <v>363</v>
      </c>
      <c r="C125" s="1">
        <v>45810</v>
      </c>
      <c r="D125" t="s">
        <v>76</v>
      </c>
      <c r="E125" t="s">
        <v>72</v>
      </c>
      <c r="F125" t="s">
        <v>364</v>
      </c>
      <c r="G125" t="s">
        <v>16</v>
      </c>
      <c r="H125">
        <v>4</v>
      </c>
      <c r="I125">
        <v>11999.07</v>
      </c>
      <c r="J125">
        <v>0.2</v>
      </c>
      <c r="K125">
        <v>9550</v>
      </c>
      <c r="L125">
        <f>sales[[#This Row],[Quantity]]*sales[[#This Row],[UnitPrice]]</f>
        <v>47996.28</v>
      </c>
      <c r="M125">
        <f>sales[[#This Row],[GrossSales]]*sales[[#This Row],[DiscountRate]]</f>
        <v>9599.2559999999994</v>
      </c>
      <c r="N125">
        <f>sales[[#This Row],[GrossSales]]-sales[[#This Row],[DiscountAmount]]</f>
        <v>38397.023999999998</v>
      </c>
      <c r="O125">
        <f>sales[[#This Row],[Quantity]]*sales[[#This Row],[UnitCostAtSale]]</f>
        <v>38200</v>
      </c>
      <c r="P125">
        <f>sales[[#This Row],[SalesAfterDiscount]]-sales[[#This Row],[CostOfGoodsSold]]</f>
        <v>197.02399999999761</v>
      </c>
      <c r="Q125">
        <f>IFERROR(sales[[#This Row],[GrossProfit]]/sales[[#This Row],[SalesAfterDiscount]],0)</f>
        <v>5.1312310037360609E-3</v>
      </c>
    </row>
    <row r="126" spans="1:17">
      <c r="A126" t="s">
        <v>365</v>
      </c>
      <c r="B126" t="s">
        <v>366</v>
      </c>
      <c r="C126" s="1">
        <v>46044</v>
      </c>
      <c r="D126" t="s">
        <v>64</v>
      </c>
      <c r="E126" t="s">
        <v>50</v>
      </c>
      <c r="F126" t="s">
        <v>217</v>
      </c>
      <c r="G126" t="s">
        <v>22</v>
      </c>
      <c r="H126">
        <v>4</v>
      </c>
      <c r="I126">
        <v>2056.0100000000002</v>
      </c>
      <c r="J126">
        <v>0.1</v>
      </c>
      <c r="K126">
        <v>1350</v>
      </c>
      <c r="L126">
        <f>sales[[#This Row],[Quantity]]*sales[[#This Row],[UnitPrice]]</f>
        <v>8224.0400000000009</v>
      </c>
      <c r="M126">
        <f>sales[[#This Row],[GrossSales]]*sales[[#This Row],[DiscountRate]]</f>
        <v>822.40400000000011</v>
      </c>
      <c r="N126">
        <f>sales[[#This Row],[GrossSales]]-sales[[#This Row],[DiscountAmount]]</f>
        <v>7401.6360000000004</v>
      </c>
      <c r="O126">
        <f>sales[[#This Row],[Quantity]]*sales[[#This Row],[UnitCostAtSale]]</f>
        <v>5400</v>
      </c>
      <c r="P126">
        <f>sales[[#This Row],[SalesAfterDiscount]]-sales[[#This Row],[CostOfGoodsSold]]</f>
        <v>2001.6360000000004</v>
      </c>
      <c r="Q126">
        <f>IFERROR(sales[[#This Row],[GrossProfit]]/sales[[#This Row],[SalesAfterDiscount]],0)</f>
        <v>0.27043156404881302</v>
      </c>
    </row>
    <row r="127" spans="1:17">
      <c r="A127" t="s">
        <v>367</v>
      </c>
      <c r="B127" t="s">
        <v>368</v>
      </c>
      <c r="C127" s="1">
        <v>46050</v>
      </c>
      <c r="D127" t="s">
        <v>41</v>
      </c>
      <c r="E127" t="s">
        <v>14</v>
      </c>
      <c r="F127" t="s">
        <v>169</v>
      </c>
      <c r="G127" t="s">
        <v>16</v>
      </c>
      <c r="H127">
        <v>2</v>
      </c>
      <c r="I127">
        <v>17279.419999999998</v>
      </c>
      <c r="J127">
        <v>0.15</v>
      </c>
      <c r="K127">
        <v>13950</v>
      </c>
      <c r="L127">
        <f>sales[[#This Row],[Quantity]]*sales[[#This Row],[UnitPrice]]</f>
        <v>34558.839999999997</v>
      </c>
      <c r="M127">
        <f>sales[[#This Row],[GrossSales]]*sales[[#This Row],[DiscountRate]]</f>
        <v>5183.8259999999991</v>
      </c>
      <c r="N127">
        <f>sales[[#This Row],[GrossSales]]-sales[[#This Row],[DiscountAmount]]</f>
        <v>29375.013999999996</v>
      </c>
      <c r="O127">
        <f>sales[[#This Row],[Quantity]]*sales[[#This Row],[UnitCostAtSale]]</f>
        <v>27900</v>
      </c>
      <c r="P127">
        <f>sales[[#This Row],[SalesAfterDiscount]]-sales[[#This Row],[CostOfGoodsSold]]</f>
        <v>1475.0139999999956</v>
      </c>
      <c r="Q127">
        <f>IFERROR(sales[[#This Row],[GrossProfit]]/sales[[#This Row],[SalesAfterDiscount]],0)</f>
        <v>5.0213218621785023E-2</v>
      </c>
    </row>
    <row r="128" spans="1:17">
      <c r="A128" t="s">
        <v>369</v>
      </c>
      <c r="B128" t="s">
        <v>370</v>
      </c>
      <c r="C128" s="1">
        <v>46048</v>
      </c>
      <c r="D128" t="s">
        <v>175</v>
      </c>
      <c r="E128" t="s">
        <v>72</v>
      </c>
      <c r="F128" t="s">
        <v>317</v>
      </c>
      <c r="G128" t="s">
        <v>22</v>
      </c>
      <c r="H128">
        <v>4</v>
      </c>
      <c r="I128">
        <v>2403.0700000000002</v>
      </c>
      <c r="J128">
        <v>0.05</v>
      </c>
      <c r="K128">
        <v>2000</v>
      </c>
      <c r="L128">
        <f>sales[[#This Row],[Quantity]]*sales[[#This Row],[UnitPrice]]</f>
        <v>9612.2800000000007</v>
      </c>
      <c r="M128">
        <f>sales[[#This Row],[GrossSales]]*sales[[#This Row],[DiscountRate]]</f>
        <v>480.61400000000003</v>
      </c>
      <c r="N128">
        <f>sales[[#This Row],[GrossSales]]-sales[[#This Row],[DiscountAmount]]</f>
        <v>9131.6660000000011</v>
      </c>
      <c r="O128">
        <f>sales[[#This Row],[Quantity]]*sales[[#This Row],[UnitCostAtSale]]</f>
        <v>8000</v>
      </c>
      <c r="P128">
        <f>sales[[#This Row],[SalesAfterDiscount]]-sales[[#This Row],[CostOfGoodsSold]]</f>
        <v>1131.6660000000011</v>
      </c>
      <c r="Q128">
        <f>IFERROR(sales[[#This Row],[GrossProfit]]/sales[[#This Row],[SalesAfterDiscount]],0)</f>
        <v>0.12392766007867578</v>
      </c>
    </row>
    <row r="129" spans="1:17">
      <c r="A129" t="s">
        <v>371</v>
      </c>
      <c r="B129" t="s">
        <v>372</v>
      </c>
      <c r="C129" s="1">
        <v>45997</v>
      </c>
      <c r="D129" t="s">
        <v>122</v>
      </c>
      <c r="E129" t="s">
        <v>14</v>
      </c>
      <c r="F129" t="s">
        <v>30</v>
      </c>
      <c r="G129" t="s">
        <v>16</v>
      </c>
      <c r="H129">
        <v>1</v>
      </c>
      <c r="I129">
        <v>13246.95</v>
      </c>
      <c r="J129">
        <v>0.15</v>
      </c>
      <c r="K129">
        <v>9050</v>
      </c>
      <c r="L129">
        <f>sales[[#This Row],[Quantity]]*sales[[#This Row],[UnitPrice]]</f>
        <v>13246.95</v>
      </c>
      <c r="M129">
        <f>sales[[#This Row],[GrossSales]]*sales[[#This Row],[DiscountRate]]</f>
        <v>1987.0425</v>
      </c>
      <c r="N129">
        <f>sales[[#This Row],[GrossSales]]-sales[[#This Row],[DiscountAmount]]</f>
        <v>11259.907500000001</v>
      </c>
      <c r="O129">
        <f>sales[[#This Row],[Quantity]]*sales[[#This Row],[UnitCostAtSale]]</f>
        <v>9050</v>
      </c>
      <c r="P129">
        <f>sales[[#This Row],[SalesAfterDiscount]]-sales[[#This Row],[CostOfGoodsSold]]</f>
        <v>2209.9075000000012</v>
      </c>
      <c r="Q129">
        <f>IFERROR(sales[[#This Row],[GrossProfit]]/sales[[#This Row],[SalesAfterDiscount]],0)</f>
        <v>0.19626337960591603</v>
      </c>
    </row>
    <row r="130" spans="1:17">
      <c r="A130" t="s">
        <v>373</v>
      </c>
      <c r="B130" t="s">
        <v>374</v>
      </c>
      <c r="C130" s="1">
        <v>45805</v>
      </c>
      <c r="D130" t="s">
        <v>161</v>
      </c>
      <c r="E130" t="s">
        <v>14</v>
      </c>
      <c r="F130" t="s">
        <v>183</v>
      </c>
      <c r="G130" t="s">
        <v>16</v>
      </c>
      <c r="H130">
        <v>4</v>
      </c>
      <c r="I130">
        <v>3694.44</v>
      </c>
      <c r="J130">
        <v>0.05</v>
      </c>
      <c r="K130">
        <v>3100</v>
      </c>
      <c r="L130">
        <f>sales[[#This Row],[Quantity]]*sales[[#This Row],[UnitPrice]]</f>
        <v>14777.76</v>
      </c>
      <c r="M130">
        <f>sales[[#This Row],[GrossSales]]*sales[[#This Row],[DiscountRate]]</f>
        <v>738.88800000000003</v>
      </c>
      <c r="N130">
        <f>sales[[#This Row],[GrossSales]]-sales[[#This Row],[DiscountAmount]]</f>
        <v>14038.871999999999</v>
      </c>
      <c r="O130">
        <f>sales[[#This Row],[Quantity]]*sales[[#This Row],[UnitCostAtSale]]</f>
        <v>12400</v>
      </c>
      <c r="P130">
        <f>sales[[#This Row],[SalesAfterDiscount]]-sales[[#This Row],[CostOfGoodsSold]]</f>
        <v>1638.8719999999994</v>
      </c>
      <c r="Q130">
        <f>IFERROR(sales[[#This Row],[GrossProfit]]/sales[[#This Row],[SalesAfterDiscount]],0)</f>
        <v>0.11673815389156618</v>
      </c>
    </row>
    <row r="131" spans="1:17">
      <c r="A131" t="s">
        <v>375</v>
      </c>
      <c r="B131" t="s">
        <v>376</v>
      </c>
      <c r="C131" s="1">
        <v>46065</v>
      </c>
      <c r="D131" t="s">
        <v>286</v>
      </c>
      <c r="E131" t="s">
        <v>46</v>
      </c>
      <c r="F131" t="s">
        <v>234</v>
      </c>
      <c r="G131" t="s">
        <v>16</v>
      </c>
      <c r="H131">
        <v>1</v>
      </c>
      <c r="I131">
        <v>614.66</v>
      </c>
      <c r="J131">
        <v>0.1</v>
      </c>
      <c r="K131">
        <v>400</v>
      </c>
      <c r="L131">
        <f>sales[[#This Row],[Quantity]]*sales[[#This Row],[UnitPrice]]</f>
        <v>614.66</v>
      </c>
      <c r="M131">
        <f>sales[[#This Row],[GrossSales]]*sales[[#This Row],[DiscountRate]]</f>
        <v>61.466000000000001</v>
      </c>
      <c r="N131">
        <f>sales[[#This Row],[GrossSales]]-sales[[#This Row],[DiscountAmount]]</f>
        <v>553.19399999999996</v>
      </c>
      <c r="O131">
        <f>sales[[#This Row],[Quantity]]*sales[[#This Row],[UnitCostAtSale]]</f>
        <v>400</v>
      </c>
      <c r="P131">
        <f>sales[[#This Row],[SalesAfterDiscount]]-sales[[#This Row],[CostOfGoodsSold]]</f>
        <v>153.19399999999996</v>
      </c>
      <c r="Q131">
        <f>IFERROR(sales[[#This Row],[GrossProfit]]/sales[[#This Row],[SalesAfterDiscount]],0)</f>
        <v>0.27692635856498798</v>
      </c>
    </row>
    <row r="132" spans="1:17">
      <c r="A132" t="s">
        <v>377</v>
      </c>
      <c r="B132" t="s">
        <v>378</v>
      </c>
      <c r="C132" s="1">
        <v>46157</v>
      </c>
      <c r="D132" t="s">
        <v>130</v>
      </c>
      <c r="E132" t="s">
        <v>46</v>
      </c>
      <c r="F132" t="s">
        <v>379</v>
      </c>
      <c r="G132" t="s">
        <v>22</v>
      </c>
      <c r="H132">
        <v>5</v>
      </c>
      <c r="I132">
        <v>12166.11</v>
      </c>
      <c r="J132">
        <v>0</v>
      </c>
      <c r="K132">
        <v>7750</v>
      </c>
      <c r="L132">
        <f>sales[[#This Row],[Quantity]]*sales[[#This Row],[UnitPrice]]</f>
        <v>60830.55</v>
      </c>
      <c r="M132">
        <f>sales[[#This Row],[GrossSales]]*sales[[#This Row],[DiscountRate]]</f>
        <v>0</v>
      </c>
      <c r="N132">
        <f>sales[[#This Row],[GrossSales]]-sales[[#This Row],[DiscountAmount]]</f>
        <v>60830.55</v>
      </c>
      <c r="O132">
        <f>sales[[#This Row],[Quantity]]*sales[[#This Row],[UnitCostAtSale]]</f>
        <v>38750</v>
      </c>
      <c r="P132">
        <f>sales[[#This Row],[SalesAfterDiscount]]-sales[[#This Row],[CostOfGoodsSold]]</f>
        <v>22080.550000000003</v>
      </c>
      <c r="Q132">
        <f>IFERROR(sales[[#This Row],[GrossProfit]]/sales[[#This Row],[SalesAfterDiscount]],0)</f>
        <v>0.36298455299187665</v>
      </c>
    </row>
    <row r="133" spans="1:17">
      <c r="A133" t="s">
        <v>380</v>
      </c>
      <c r="B133" t="s">
        <v>381</v>
      </c>
      <c r="C133" s="1">
        <v>45952</v>
      </c>
      <c r="D133" t="s">
        <v>130</v>
      </c>
      <c r="E133" t="s">
        <v>72</v>
      </c>
      <c r="F133" t="s">
        <v>54</v>
      </c>
      <c r="G133" t="s">
        <v>22</v>
      </c>
      <c r="H133">
        <v>2</v>
      </c>
      <c r="I133">
        <v>12166.11</v>
      </c>
      <c r="J133">
        <v>0</v>
      </c>
      <c r="K133">
        <v>7750</v>
      </c>
      <c r="L133">
        <f>sales[[#This Row],[Quantity]]*sales[[#This Row],[UnitPrice]]</f>
        <v>24332.22</v>
      </c>
      <c r="M133">
        <f>sales[[#This Row],[GrossSales]]*sales[[#This Row],[DiscountRate]]</f>
        <v>0</v>
      </c>
      <c r="N133">
        <f>sales[[#This Row],[GrossSales]]-sales[[#This Row],[DiscountAmount]]</f>
        <v>24332.22</v>
      </c>
      <c r="O133">
        <f>sales[[#This Row],[Quantity]]*sales[[#This Row],[UnitCostAtSale]]</f>
        <v>15500</v>
      </c>
      <c r="P133">
        <f>sales[[#This Row],[SalesAfterDiscount]]-sales[[#This Row],[CostOfGoodsSold]]</f>
        <v>8832.2200000000012</v>
      </c>
      <c r="Q133">
        <f>IFERROR(sales[[#This Row],[GrossProfit]]/sales[[#This Row],[SalesAfterDiscount]],0)</f>
        <v>0.36298455299187665</v>
      </c>
    </row>
    <row r="134" spans="1:17">
      <c r="A134" t="s">
        <v>382</v>
      </c>
      <c r="B134" t="s">
        <v>383</v>
      </c>
      <c r="C134" s="1">
        <v>45828</v>
      </c>
      <c r="D134" t="s">
        <v>112</v>
      </c>
      <c r="E134" t="s">
        <v>14</v>
      </c>
      <c r="F134" t="s">
        <v>172</v>
      </c>
      <c r="G134" t="s">
        <v>22</v>
      </c>
      <c r="H134">
        <v>3</v>
      </c>
      <c r="I134">
        <v>10868.14</v>
      </c>
      <c r="J134">
        <v>0</v>
      </c>
      <c r="K134">
        <v>8850</v>
      </c>
      <c r="L134">
        <f>sales[[#This Row],[Quantity]]*sales[[#This Row],[UnitPrice]]</f>
        <v>32604.42</v>
      </c>
      <c r="M134">
        <f>sales[[#This Row],[GrossSales]]*sales[[#This Row],[DiscountRate]]</f>
        <v>0</v>
      </c>
      <c r="N134">
        <f>sales[[#This Row],[GrossSales]]-sales[[#This Row],[DiscountAmount]]</f>
        <v>32604.42</v>
      </c>
      <c r="O134">
        <f>sales[[#This Row],[Quantity]]*sales[[#This Row],[UnitCostAtSale]]</f>
        <v>26550</v>
      </c>
      <c r="P134">
        <f>sales[[#This Row],[SalesAfterDiscount]]-sales[[#This Row],[CostOfGoodsSold]]</f>
        <v>6054.4199999999983</v>
      </c>
      <c r="Q134">
        <f>IFERROR(sales[[#This Row],[GrossProfit]]/sales[[#This Row],[SalesAfterDiscount]],0)</f>
        <v>0.18569322809606792</v>
      </c>
    </row>
    <row r="135" spans="1:17">
      <c r="A135" t="s">
        <v>384</v>
      </c>
      <c r="B135" t="s">
        <v>385</v>
      </c>
      <c r="C135" s="1">
        <v>46025</v>
      </c>
      <c r="D135" t="s">
        <v>155</v>
      </c>
      <c r="E135" t="s">
        <v>50</v>
      </c>
      <c r="F135" t="s">
        <v>92</v>
      </c>
      <c r="G135" t="s">
        <v>16</v>
      </c>
      <c r="H135">
        <v>3</v>
      </c>
      <c r="I135">
        <v>17046.37</v>
      </c>
      <c r="J135">
        <v>0.15</v>
      </c>
      <c r="K135">
        <v>11700</v>
      </c>
      <c r="L135">
        <f>sales[[#This Row],[Quantity]]*sales[[#This Row],[UnitPrice]]</f>
        <v>51139.11</v>
      </c>
      <c r="M135">
        <f>sales[[#This Row],[GrossSales]]*sales[[#This Row],[DiscountRate]]</f>
        <v>7670.8665000000001</v>
      </c>
      <c r="N135">
        <f>sales[[#This Row],[GrossSales]]-sales[[#This Row],[DiscountAmount]]</f>
        <v>43468.243499999997</v>
      </c>
      <c r="O135">
        <f>sales[[#This Row],[Quantity]]*sales[[#This Row],[UnitCostAtSale]]</f>
        <v>35100</v>
      </c>
      <c r="P135">
        <f>sales[[#This Row],[SalesAfterDiscount]]-sales[[#This Row],[CostOfGoodsSold]]</f>
        <v>8368.2434999999969</v>
      </c>
      <c r="Q135">
        <f>IFERROR(sales[[#This Row],[GrossProfit]]/sales[[#This Row],[SalesAfterDiscount]],0)</f>
        <v>0.1925139556191176</v>
      </c>
    </row>
    <row r="136" spans="1:17">
      <c r="A136" t="s">
        <v>386</v>
      </c>
      <c r="B136" t="s">
        <v>387</v>
      </c>
      <c r="C136" s="1">
        <v>45842</v>
      </c>
      <c r="D136" t="s">
        <v>41</v>
      </c>
      <c r="E136" t="s">
        <v>14</v>
      </c>
      <c r="F136" t="s">
        <v>388</v>
      </c>
      <c r="G136" t="s">
        <v>16</v>
      </c>
      <c r="H136">
        <v>2</v>
      </c>
      <c r="I136">
        <v>17279.419999999998</v>
      </c>
      <c r="J136">
        <v>0.05</v>
      </c>
      <c r="K136">
        <v>13950</v>
      </c>
      <c r="L136">
        <f>sales[[#This Row],[Quantity]]*sales[[#This Row],[UnitPrice]]</f>
        <v>34558.839999999997</v>
      </c>
      <c r="M136">
        <f>sales[[#This Row],[GrossSales]]*sales[[#This Row],[DiscountRate]]</f>
        <v>1727.942</v>
      </c>
      <c r="N136">
        <f>sales[[#This Row],[GrossSales]]-sales[[#This Row],[DiscountAmount]]</f>
        <v>32830.897999999994</v>
      </c>
      <c r="O136">
        <f>sales[[#This Row],[Quantity]]*sales[[#This Row],[UnitCostAtSale]]</f>
        <v>27900</v>
      </c>
      <c r="P136">
        <f>sales[[#This Row],[SalesAfterDiscount]]-sales[[#This Row],[CostOfGoodsSold]]</f>
        <v>4930.8979999999938</v>
      </c>
      <c r="Q136">
        <f>IFERROR(sales[[#This Row],[GrossProfit]]/sales[[#This Row],[SalesAfterDiscount]],0)</f>
        <v>0.15019077455633392</v>
      </c>
    </row>
    <row r="137" spans="1:17">
      <c r="A137" t="s">
        <v>389</v>
      </c>
      <c r="B137" t="s">
        <v>390</v>
      </c>
      <c r="C137" s="1">
        <v>45904</v>
      </c>
      <c r="D137" t="s">
        <v>95</v>
      </c>
      <c r="E137" t="s">
        <v>50</v>
      </c>
      <c r="F137" t="s">
        <v>42</v>
      </c>
      <c r="G137" t="s">
        <v>16</v>
      </c>
      <c r="H137">
        <v>4</v>
      </c>
      <c r="I137">
        <v>12048.66</v>
      </c>
      <c r="J137">
        <v>0.2</v>
      </c>
      <c r="K137">
        <v>9900</v>
      </c>
      <c r="L137">
        <f>sales[[#This Row],[Quantity]]*sales[[#This Row],[UnitPrice]]</f>
        <v>48194.64</v>
      </c>
      <c r="M137">
        <f>sales[[#This Row],[GrossSales]]*sales[[#This Row],[DiscountRate]]</f>
        <v>9638.9279999999999</v>
      </c>
      <c r="N137">
        <f>sales[[#This Row],[GrossSales]]-sales[[#This Row],[DiscountAmount]]</f>
        <v>38555.712</v>
      </c>
      <c r="O137">
        <f>sales[[#This Row],[Quantity]]*sales[[#This Row],[UnitCostAtSale]]</f>
        <v>39600</v>
      </c>
      <c r="P137">
        <f>sales[[#This Row],[SalesAfterDiscount]]-sales[[#This Row],[CostOfGoodsSold]]</f>
        <v>-1044.2880000000005</v>
      </c>
      <c r="Q137">
        <f>IFERROR(sales[[#This Row],[GrossProfit]]/sales[[#This Row],[SalesAfterDiscount]],0)</f>
        <v>-2.7085169637121483E-2</v>
      </c>
    </row>
    <row r="138" spans="1:17">
      <c r="A138" t="s">
        <v>391</v>
      </c>
      <c r="B138" t="s">
        <v>392</v>
      </c>
      <c r="C138" s="1">
        <v>45918</v>
      </c>
      <c r="D138" t="s">
        <v>130</v>
      </c>
      <c r="E138" t="s">
        <v>14</v>
      </c>
      <c r="F138" t="s">
        <v>199</v>
      </c>
      <c r="G138" t="s">
        <v>16</v>
      </c>
      <c r="H138">
        <v>4</v>
      </c>
      <c r="I138">
        <v>12166.11</v>
      </c>
      <c r="J138">
        <v>0.1</v>
      </c>
      <c r="K138">
        <v>7750</v>
      </c>
      <c r="L138">
        <f>sales[[#This Row],[Quantity]]*sales[[#This Row],[UnitPrice]]</f>
        <v>48664.44</v>
      </c>
      <c r="M138">
        <f>sales[[#This Row],[GrossSales]]*sales[[#This Row],[DiscountRate]]</f>
        <v>4866.4440000000004</v>
      </c>
      <c r="N138">
        <f>sales[[#This Row],[GrossSales]]-sales[[#This Row],[DiscountAmount]]</f>
        <v>43797.995999999999</v>
      </c>
      <c r="O138">
        <f>sales[[#This Row],[Quantity]]*sales[[#This Row],[UnitCostAtSale]]</f>
        <v>31000</v>
      </c>
      <c r="P138">
        <f>sales[[#This Row],[SalesAfterDiscount]]-sales[[#This Row],[CostOfGoodsSold]]</f>
        <v>12797.995999999999</v>
      </c>
      <c r="Q138">
        <f>IFERROR(sales[[#This Row],[GrossProfit]]/sales[[#This Row],[SalesAfterDiscount]],0)</f>
        <v>0.29220505887986287</v>
      </c>
    </row>
    <row r="139" spans="1:17">
      <c r="A139" t="s">
        <v>393</v>
      </c>
      <c r="B139" t="s">
        <v>394</v>
      </c>
      <c r="C139" s="1">
        <v>45819</v>
      </c>
      <c r="D139" t="s">
        <v>49</v>
      </c>
      <c r="E139" t="s">
        <v>20</v>
      </c>
      <c r="F139" t="s">
        <v>251</v>
      </c>
      <c r="G139" t="s">
        <v>16</v>
      </c>
      <c r="H139">
        <v>1</v>
      </c>
      <c r="I139">
        <v>13787.88</v>
      </c>
      <c r="J139">
        <v>0.15</v>
      </c>
      <c r="K139">
        <v>9500</v>
      </c>
      <c r="L139">
        <f>sales[[#This Row],[Quantity]]*sales[[#This Row],[UnitPrice]]</f>
        <v>13787.88</v>
      </c>
      <c r="M139">
        <f>sales[[#This Row],[GrossSales]]*sales[[#This Row],[DiscountRate]]</f>
        <v>2068.1819999999998</v>
      </c>
      <c r="N139">
        <f>sales[[#This Row],[GrossSales]]-sales[[#This Row],[DiscountAmount]]</f>
        <v>11719.698</v>
      </c>
      <c r="O139">
        <f>sales[[#This Row],[Quantity]]*sales[[#This Row],[UnitCostAtSale]]</f>
        <v>9500</v>
      </c>
      <c r="P139">
        <f>sales[[#This Row],[SalesAfterDiscount]]-sales[[#This Row],[CostOfGoodsSold]]</f>
        <v>2219.6980000000003</v>
      </c>
      <c r="Q139">
        <f>IFERROR(sales[[#This Row],[GrossProfit]]/sales[[#This Row],[SalesAfterDiscount]],0)</f>
        <v>0.18939890771929449</v>
      </c>
    </row>
    <row r="140" spans="1:17">
      <c r="A140" t="s">
        <v>395</v>
      </c>
      <c r="B140" t="s">
        <v>396</v>
      </c>
      <c r="C140" s="1">
        <v>46092</v>
      </c>
      <c r="D140" t="s">
        <v>130</v>
      </c>
      <c r="E140" t="s">
        <v>20</v>
      </c>
      <c r="F140" t="s">
        <v>241</v>
      </c>
      <c r="G140" t="s">
        <v>16</v>
      </c>
      <c r="H140">
        <v>3</v>
      </c>
      <c r="I140">
        <v>12166.11</v>
      </c>
      <c r="J140">
        <v>0.15</v>
      </c>
      <c r="K140">
        <v>7750</v>
      </c>
      <c r="L140">
        <f>sales[[#This Row],[Quantity]]*sales[[#This Row],[UnitPrice]]</f>
        <v>36498.33</v>
      </c>
      <c r="M140">
        <f>sales[[#This Row],[GrossSales]]*sales[[#This Row],[DiscountRate]]</f>
        <v>5474.7494999999999</v>
      </c>
      <c r="N140">
        <f>sales[[#This Row],[GrossSales]]-sales[[#This Row],[DiscountAmount]]</f>
        <v>31023.580500000004</v>
      </c>
      <c r="O140">
        <f>sales[[#This Row],[Quantity]]*sales[[#This Row],[UnitCostAtSale]]</f>
        <v>23250</v>
      </c>
      <c r="P140">
        <f>sales[[#This Row],[SalesAfterDiscount]]-sales[[#This Row],[CostOfGoodsSold]]</f>
        <v>7773.5805000000037</v>
      </c>
      <c r="Q140">
        <f>IFERROR(sales[[#This Row],[GrossProfit]]/sales[[#This Row],[SalesAfterDiscount]],0)</f>
        <v>0.25057006234338436</v>
      </c>
    </row>
    <row r="141" spans="1:17">
      <c r="A141" t="s">
        <v>397</v>
      </c>
      <c r="B141" t="s">
        <v>398</v>
      </c>
      <c r="C141" s="1">
        <v>46152</v>
      </c>
      <c r="D141" t="s">
        <v>76</v>
      </c>
      <c r="E141" t="s">
        <v>72</v>
      </c>
      <c r="F141" t="s">
        <v>301</v>
      </c>
      <c r="G141" t="s">
        <v>16</v>
      </c>
      <c r="H141">
        <v>1</v>
      </c>
      <c r="I141">
        <v>11999.07</v>
      </c>
      <c r="J141">
        <v>0.05</v>
      </c>
      <c r="K141">
        <v>9550</v>
      </c>
      <c r="L141">
        <f>sales[[#This Row],[Quantity]]*sales[[#This Row],[UnitPrice]]</f>
        <v>11999.07</v>
      </c>
      <c r="M141">
        <f>sales[[#This Row],[GrossSales]]*sales[[#This Row],[DiscountRate]]</f>
        <v>599.95349999999996</v>
      </c>
      <c r="N141">
        <f>sales[[#This Row],[GrossSales]]-sales[[#This Row],[DiscountAmount]]</f>
        <v>11399.1165</v>
      </c>
      <c r="O141">
        <f>sales[[#This Row],[Quantity]]*sales[[#This Row],[UnitCostAtSale]]</f>
        <v>9550</v>
      </c>
      <c r="P141">
        <f>sales[[#This Row],[SalesAfterDiscount]]-sales[[#This Row],[CostOfGoodsSold]]</f>
        <v>1849.1165000000001</v>
      </c>
      <c r="Q141">
        <f>IFERROR(sales[[#This Row],[GrossProfit]]/sales[[#This Row],[SalesAfterDiscount]],0)</f>
        <v>0.16221577347683042</v>
      </c>
    </row>
    <row r="142" spans="1:17">
      <c r="A142" t="s">
        <v>399</v>
      </c>
      <c r="B142" t="s">
        <v>400</v>
      </c>
      <c r="C142" s="1">
        <v>45960</v>
      </c>
      <c r="D142" t="s">
        <v>41</v>
      </c>
      <c r="E142" t="s">
        <v>72</v>
      </c>
      <c r="F142" t="s">
        <v>65</v>
      </c>
      <c r="G142" t="s">
        <v>22</v>
      </c>
      <c r="H142">
        <v>3</v>
      </c>
      <c r="I142">
        <v>17279.419999999998</v>
      </c>
      <c r="J142">
        <v>0</v>
      </c>
      <c r="K142">
        <v>13950</v>
      </c>
      <c r="L142">
        <f>sales[[#This Row],[Quantity]]*sales[[#This Row],[UnitPrice]]</f>
        <v>51838.259999999995</v>
      </c>
      <c r="M142">
        <f>sales[[#This Row],[GrossSales]]*sales[[#This Row],[DiscountRate]]</f>
        <v>0</v>
      </c>
      <c r="N142">
        <f>sales[[#This Row],[GrossSales]]-sales[[#This Row],[DiscountAmount]]</f>
        <v>51838.259999999995</v>
      </c>
      <c r="O142">
        <f>sales[[#This Row],[Quantity]]*sales[[#This Row],[UnitCostAtSale]]</f>
        <v>41850</v>
      </c>
      <c r="P142">
        <f>sales[[#This Row],[SalesAfterDiscount]]-sales[[#This Row],[CostOfGoodsSold]]</f>
        <v>9988.2599999999948</v>
      </c>
      <c r="Q142">
        <f>IFERROR(sales[[#This Row],[GrossProfit]]/sales[[#This Row],[SalesAfterDiscount]],0)</f>
        <v>0.19268123582851732</v>
      </c>
    </row>
    <row r="143" spans="1:17">
      <c r="A143" t="s">
        <v>401</v>
      </c>
      <c r="B143" t="s">
        <v>402</v>
      </c>
      <c r="C143" s="1">
        <v>45708</v>
      </c>
      <c r="D143" t="s">
        <v>41</v>
      </c>
      <c r="E143" t="s">
        <v>20</v>
      </c>
      <c r="F143" t="s">
        <v>403</v>
      </c>
      <c r="G143" t="s">
        <v>22</v>
      </c>
      <c r="H143">
        <v>5</v>
      </c>
      <c r="I143">
        <v>17279.419999999998</v>
      </c>
      <c r="J143">
        <v>0.15</v>
      </c>
      <c r="K143">
        <v>13950</v>
      </c>
      <c r="L143">
        <f>sales[[#This Row],[Quantity]]*sales[[#This Row],[UnitPrice]]</f>
        <v>86397.099999999991</v>
      </c>
      <c r="M143">
        <f>sales[[#This Row],[GrossSales]]*sales[[#This Row],[DiscountRate]]</f>
        <v>12959.564999999999</v>
      </c>
      <c r="N143">
        <f>sales[[#This Row],[GrossSales]]-sales[[#This Row],[DiscountAmount]]</f>
        <v>73437.534999999989</v>
      </c>
      <c r="O143">
        <f>sales[[#This Row],[Quantity]]*sales[[#This Row],[UnitCostAtSale]]</f>
        <v>69750</v>
      </c>
      <c r="P143">
        <f>sales[[#This Row],[SalesAfterDiscount]]-sales[[#This Row],[CostOfGoodsSold]]</f>
        <v>3687.5349999999889</v>
      </c>
      <c r="Q143">
        <f>IFERROR(sales[[#This Row],[GrossProfit]]/sales[[#This Row],[SalesAfterDiscount]],0)</f>
        <v>5.0213218621785023E-2</v>
      </c>
    </row>
    <row r="144" spans="1:17">
      <c r="A144" t="s">
        <v>404</v>
      </c>
      <c r="B144" t="s">
        <v>405</v>
      </c>
      <c r="C144" s="1">
        <v>46018</v>
      </c>
      <c r="D144" t="s">
        <v>95</v>
      </c>
      <c r="E144" t="s">
        <v>46</v>
      </c>
      <c r="F144" t="s">
        <v>298</v>
      </c>
      <c r="G144" t="s">
        <v>22</v>
      </c>
      <c r="H144">
        <v>2</v>
      </c>
      <c r="I144">
        <v>12048.66</v>
      </c>
      <c r="J144">
        <v>0.05</v>
      </c>
      <c r="K144">
        <v>9900</v>
      </c>
      <c r="L144">
        <f>sales[[#This Row],[Quantity]]*sales[[#This Row],[UnitPrice]]</f>
        <v>24097.32</v>
      </c>
      <c r="M144">
        <f>sales[[#This Row],[GrossSales]]*sales[[#This Row],[DiscountRate]]</f>
        <v>1204.866</v>
      </c>
      <c r="N144">
        <f>sales[[#This Row],[GrossSales]]-sales[[#This Row],[DiscountAmount]]</f>
        <v>22892.453999999998</v>
      </c>
      <c r="O144">
        <f>sales[[#This Row],[Quantity]]*sales[[#This Row],[UnitCostAtSale]]</f>
        <v>19800</v>
      </c>
      <c r="P144">
        <f>sales[[#This Row],[SalesAfterDiscount]]-sales[[#This Row],[CostOfGoodsSold]]</f>
        <v>3092.4539999999979</v>
      </c>
      <c r="Q144">
        <f>IFERROR(sales[[#This Row],[GrossProfit]]/sales[[#This Row],[SalesAfterDiscount]],0)</f>
        <v>0.1350861729371608</v>
      </c>
    </row>
    <row r="145" spans="1:17">
      <c r="A145" t="s">
        <v>406</v>
      </c>
      <c r="B145" t="s">
        <v>407</v>
      </c>
      <c r="C145" s="1">
        <v>45757</v>
      </c>
      <c r="D145" t="s">
        <v>130</v>
      </c>
      <c r="E145" t="s">
        <v>72</v>
      </c>
      <c r="F145" t="s">
        <v>317</v>
      </c>
      <c r="G145" t="s">
        <v>16</v>
      </c>
      <c r="H145">
        <v>1</v>
      </c>
      <c r="I145">
        <v>12166.11</v>
      </c>
      <c r="J145">
        <v>0.1</v>
      </c>
      <c r="K145">
        <v>7750</v>
      </c>
      <c r="L145">
        <f>sales[[#This Row],[Quantity]]*sales[[#This Row],[UnitPrice]]</f>
        <v>12166.11</v>
      </c>
      <c r="M145">
        <f>sales[[#This Row],[GrossSales]]*sales[[#This Row],[DiscountRate]]</f>
        <v>1216.6110000000001</v>
      </c>
      <c r="N145">
        <f>sales[[#This Row],[GrossSales]]-sales[[#This Row],[DiscountAmount]]</f>
        <v>10949.499</v>
      </c>
      <c r="O145">
        <f>sales[[#This Row],[Quantity]]*sales[[#This Row],[UnitCostAtSale]]</f>
        <v>7750</v>
      </c>
      <c r="P145">
        <f>sales[[#This Row],[SalesAfterDiscount]]-sales[[#This Row],[CostOfGoodsSold]]</f>
        <v>3199.4989999999998</v>
      </c>
      <c r="Q145">
        <f>IFERROR(sales[[#This Row],[GrossProfit]]/sales[[#This Row],[SalesAfterDiscount]],0)</f>
        <v>0.29220505887986287</v>
      </c>
    </row>
    <row r="146" spans="1:17">
      <c r="A146" t="s">
        <v>408</v>
      </c>
      <c r="B146" t="s">
        <v>409</v>
      </c>
      <c r="C146" s="1">
        <v>45792</v>
      </c>
      <c r="D146" t="s">
        <v>87</v>
      </c>
      <c r="E146" t="s">
        <v>20</v>
      </c>
      <c r="F146" t="s">
        <v>324</v>
      </c>
      <c r="G146" t="s">
        <v>16</v>
      </c>
      <c r="H146">
        <v>1</v>
      </c>
      <c r="I146">
        <v>9337.2199999999993</v>
      </c>
      <c r="J146">
        <v>0.1</v>
      </c>
      <c r="K146">
        <v>6050</v>
      </c>
      <c r="L146">
        <f>sales[[#This Row],[Quantity]]*sales[[#This Row],[UnitPrice]]</f>
        <v>9337.2199999999993</v>
      </c>
      <c r="M146">
        <f>sales[[#This Row],[GrossSales]]*sales[[#This Row],[DiscountRate]]</f>
        <v>933.72199999999998</v>
      </c>
      <c r="N146">
        <f>sales[[#This Row],[GrossSales]]-sales[[#This Row],[DiscountAmount]]</f>
        <v>8403.4979999999996</v>
      </c>
      <c r="O146">
        <f>sales[[#This Row],[Quantity]]*sales[[#This Row],[UnitCostAtSale]]</f>
        <v>6050</v>
      </c>
      <c r="P146">
        <f>sales[[#This Row],[SalesAfterDiscount]]-sales[[#This Row],[CostOfGoodsSold]]</f>
        <v>2353.4979999999996</v>
      </c>
      <c r="Q146">
        <f>IFERROR(sales[[#This Row],[GrossProfit]]/sales[[#This Row],[SalesAfterDiscount]],0)</f>
        <v>0.28006170763651039</v>
      </c>
    </row>
    <row r="147" spans="1:17">
      <c r="A147" t="s">
        <v>410</v>
      </c>
      <c r="B147" t="s">
        <v>411</v>
      </c>
      <c r="C147" s="1">
        <v>45863</v>
      </c>
      <c r="D147" t="s">
        <v>313</v>
      </c>
      <c r="E147" t="s">
        <v>20</v>
      </c>
      <c r="F147" t="s">
        <v>30</v>
      </c>
      <c r="G147" t="s">
        <v>16</v>
      </c>
      <c r="H147">
        <v>2</v>
      </c>
      <c r="I147">
        <v>3335.18</v>
      </c>
      <c r="J147">
        <v>0.2</v>
      </c>
      <c r="K147">
        <v>2600</v>
      </c>
      <c r="L147">
        <f>sales[[#This Row],[Quantity]]*sales[[#This Row],[UnitPrice]]</f>
        <v>6670.36</v>
      </c>
      <c r="M147">
        <f>sales[[#This Row],[GrossSales]]*sales[[#This Row],[DiscountRate]]</f>
        <v>1334.0720000000001</v>
      </c>
      <c r="N147">
        <f>sales[[#This Row],[GrossSales]]-sales[[#This Row],[DiscountAmount]]</f>
        <v>5336.2879999999996</v>
      </c>
      <c r="O147">
        <f>sales[[#This Row],[Quantity]]*sales[[#This Row],[UnitCostAtSale]]</f>
        <v>5200</v>
      </c>
      <c r="P147">
        <f>sales[[#This Row],[SalesAfterDiscount]]-sales[[#This Row],[CostOfGoodsSold]]</f>
        <v>136.28799999999956</v>
      </c>
      <c r="Q147">
        <f>IFERROR(sales[[#This Row],[GrossProfit]]/sales[[#This Row],[SalesAfterDiscount]],0)</f>
        <v>2.5539850922588803E-2</v>
      </c>
    </row>
    <row r="148" spans="1:17">
      <c r="A148" t="s">
        <v>412</v>
      </c>
      <c r="B148" t="s">
        <v>413</v>
      </c>
      <c r="C148" s="1">
        <v>45826</v>
      </c>
      <c r="D148" t="s">
        <v>126</v>
      </c>
      <c r="E148" t="s">
        <v>20</v>
      </c>
      <c r="F148" t="s">
        <v>324</v>
      </c>
      <c r="G148" t="s">
        <v>16</v>
      </c>
      <c r="H148">
        <v>3</v>
      </c>
      <c r="I148">
        <v>17523.439999999999</v>
      </c>
      <c r="J148">
        <v>0.15</v>
      </c>
      <c r="K148">
        <v>11850</v>
      </c>
      <c r="L148">
        <f>sales[[#This Row],[Quantity]]*sales[[#This Row],[UnitPrice]]</f>
        <v>52570.319999999992</v>
      </c>
      <c r="M148">
        <f>sales[[#This Row],[GrossSales]]*sales[[#This Row],[DiscountRate]]</f>
        <v>7885.5479999999989</v>
      </c>
      <c r="N148">
        <f>sales[[#This Row],[GrossSales]]-sales[[#This Row],[DiscountAmount]]</f>
        <v>44684.771999999997</v>
      </c>
      <c r="O148">
        <f>sales[[#This Row],[Quantity]]*sales[[#This Row],[UnitCostAtSale]]</f>
        <v>35550</v>
      </c>
      <c r="P148">
        <f>sales[[#This Row],[SalesAfterDiscount]]-sales[[#This Row],[CostOfGoodsSold]]</f>
        <v>9134.7719999999972</v>
      </c>
      <c r="Q148">
        <f>IFERROR(sales[[#This Row],[GrossProfit]]/sales[[#This Row],[SalesAfterDiscount]],0)</f>
        <v>0.20442695780119449</v>
      </c>
    </row>
    <row r="149" spans="1:17">
      <c r="A149" t="s">
        <v>414</v>
      </c>
      <c r="B149" t="s">
        <v>415</v>
      </c>
      <c r="C149" s="1">
        <v>45775</v>
      </c>
      <c r="D149" t="s">
        <v>416</v>
      </c>
      <c r="E149" t="s">
        <v>50</v>
      </c>
      <c r="F149" t="s">
        <v>206</v>
      </c>
      <c r="G149" t="s">
        <v>22</v>
      </c>
      <c r="H149">
        <v>4</v>
      </c>
      <c r="I149">
        <v>3804.25</v>
      </c>
      <c r="J149">
        <v>0</v>
      </c>
      <c r="K149">
        <v>2800</v>
      </c>
      <c r="L149">
        <f>sales[[#This Row],[Quantity]]*sales[[#This Row],[UnitPrice]]</f>
        <v>15217</v>
      </c>
      <c r="M149">
        <f>sales[[#This Row],[GrossSales]]*sales[[#This Row],[DiscountRate]]</f>
        <v>0</v>
      </c>
      <c r="N149">
        <f>sales[[#This Row],[GrossSales]]-sales[[#This Row],[DiscountAmount]]</f>
        <v>15217</v>
      </c>
      <c r="O149">
        <f>sales[[#This Row],[Quantity]]*sales[[#This Row],[UnitCostAtSale]]</f>
        <v>11200</v>
      </c>
      <c r="P149">
        <f>sales[[#This Row],[SalesAfterDiscount]]-sales[[#This Row],[CostOfGoodsSold]]</f>
        <v>4017</v>
      </c>
      <c r="Q149">
        <f>IFERROR(sales[[#This Row],[GrossProfit]]/sales[[#This Row],[SalesAfterDiscount]],0)</f>
        <v>0.26398107379904057</v>
      </c>
    </row>
    <row r="150" spans="1:17">
      <c r="A150" t="s">
        <v>417</v>
      </c>
      <c r="B150" t="s">
        <v>418</v>
      </c>
      <c r="C150" s="1">
        <v>46064</v>
      </c>
      <c r="D150" t="s">
        <v>76</v>
      </c>
      <c r="E150" t="s">
        <v>14</v>
      </c>
      <c r="F150" t="s">
        <v>419</v>
      </c>
      <c r="G150" t="s">
        <v>22</v>
      </c>
      <c r="H150">
        <v>5</v>
      </c>
      <c r="I150">
        <v>11999.07</v>
      </c>
      <c r="J150">
        <v>0.1</v>
      </c>
      <c r="K150">
        <v>9550</v>
      </c>
      <c r="L150">
        <f>sales[[#This Row],[Quantity]]*sales[[#This Row],[UnitPrice]]</f>
        <v>59995.35</v>
      </c>
      <c r="M150">
        <f>sales[[#This Row],[GrossSales]]*sales[[#This Row],[DiscountRate]]</f>
        <v>5999.5349999999999</v>
      </c>
      <c r="N150">
        <f>sales[[#This Row],[GrossSales]]-sales[[#This Row],[DiscountAmount]]</f>
        <v>53995.815000000002</v>
      </c>
      <c r="O150">
        <f>sales[[#This Row],[Quantity]]*sales[[#This Row],[UnitCostAtSale]]</f>
        <v>47750</v>
      </c>
      <c r="P150">
        <f>sales[[#This Row],[SalesAfterDiscount]]-sales[[#This Row],[CostOfGoodsSold]]</f>
        <v>6245.8150000000023</v>
      </c>
      <c r="Q150">
        <f>IFERROR(sales[[#This Row],[GrossProfit]]/sales[[#This Row],[SalesAfterDiscount]],0)</f>
        <v>0.11567220533665437</v>
      </c>
    </row>
    <row r="151" spans="1:17">
      <c r="A151" t="s">
        <v>420</v>
      </c>
      <c r="B151" t="s">
        <v>421</v>
      </c>
      <c r="C151" s="1">
        <v>45784</v>
      </c>
      <c r="D151" t="s">
        <v>80</v>
      </c>
      <c r="E151" t="s">
        <v>20</v>
      </c>
      <c r="F151" t="s">
        <v>84</v>
      </c>
      <c r="G151" t="s">
        <v>16</v>
      </c>
      <c r="H151">
        <v>4</v>
      </c>
      <c r="I151">
        <v>19555.88</v>
      </c>
      <c r="J151">
        <v>0.1</v>
      </c>
      <c r="K151">
        <v>14200</v>
      </c>
      <c r="L151">
        <f>sales[[#This Row],[Quantity]]*sales[[#This Row],[UnitPrice]]</f>
        <v>78223.520000000004</v>
      </c>
      <c r="M151">
        <f>sales[[#This Row],[GrossSales]]*sales[[#This Row],[DiscountRate]]</f>
        <v>7822.3520000000008</v>
      </c>
      <c r="N151">
        <f>sales[[#This Row],[GrossSales]]-sales[[#This Row],[DiscountAmount]]</f>
        <v>70401.168000000005</v>
      </c>
      <c r="O151">
        <f>sales[[#This Row],[Quantity]]*sales[[#This Row],[UnitCostAtSale]]</f>
        <v>56800</v>
      </c>
      <c r="P151">
        <f>sales[[#This Row],[SalesAfterDiscount]]-sales[[#This Row],[CostOfGoodsSold]]</f>
        <v>13601.168000000005</v>
      </c>
      <c r="Q151">
        <f>IFERROR(sales[[#This Row],[GrossProfit]]/sales[[#This Row],[SalesAfterDiscount]],0)</f>
        <v>0.19319520380684599</v>
      </c>
    </row>
    <row r="152" spans="1:17">
      <c r="A152" t="s">
        <v>422</v>
      </c>
      <c r="B152" t="s">
        <v>423</v>
      </c>
      <c r="C152" s="1">
        <v>46038</v>
      </c>
      <c r="D152" t="s">
        <v>126</v>
      </c>
      <c r="E152" t="s">
        <v>72</v>
      </c>
      <c r="F152" t="s">
        <v>145</v>
      </c>
      <c r="G152" t="s">
        <v>16</v>
      </c>
      <c r="H152">
        <v>1</v>
      </c>
      <c r="I152">
        <v>17523.439999999999</v>
      </c>
      <c r="J152">
        <v>0.05</v>
      </c>
      <c r="K152">
        <v>11850</v>
      </c>
      <c r="L152">
        <f>sales[[#This Row],[Quantity]]*sales[[#This Row],[UnitPrice]]</f>
        <v>17523.439999999999</v>
      </c>
      <c r="M152">
        <f>sales[[#This Row],[GrossSales]]*sales[[#This Row],[DiscountRate]]</f>
        <v>876.17200000000003</v>
      </c>
      <c r="N152">
        <f>sales[[#This Row],[GrossSales]]-sales[[#This Row],[DiscountAmount]]</f>
        <v>16647.268</v>
      </c>
      <c r="O152">
        <f>sales[[#This Row],[Quantity]]*sales[[#This Row],[UnitCostAtSale]]</f>
        <v>11850</v>
      </c>
      <c r="P152">
        <f>sales[[#This Row],[SalesAfterDiscount]]-sales[[#This Row],[CostOfGoodsSold]]</f>
        <v>4797.268</v>
      </c>
      <c r="Q152">
        <f>IFERROR(sales[[#This Row],[GrossProfit]]/sales[[#This Row],[SalesAfterDiscount]],0)</f>
        <v>0.28817148855896357</v>
      </c>
    </row>
    <row r="153" spans="1:17">
      <c r="A153" t="s">
        <v>424</v>
      </c>
      <c r="B153" t="s">
        <v>425</v>
      </c>
      <c r="C153" s="1">
        <v>45884</v>
      </c>
      <c r="D153" t="s">
        <v>99</v>
      </c>
      <c r="E153" t="s">
        <v>20</v>
      </c>
      <c r="F153" t="s">
        <v>263</v>
      </c>
      <c r="G153" t="s">
        <v>16</v>
      </c>
      <c r="H153">
        <v>1</v>
      </c>
      <c r="I153">
        <v>10644.48</v>
      </c>
      <c r="J153">
        <v>0.15</v>
      </c>
      <c r="K153">
        <v>7050</v>
      </c>
      <c r="L153">
        <f>sales[[#This Row],[Quantity]]*sales[[#This Row],[UnitPrice]]</f>
        <v>10644.48</v>
      </c>
      <c r="M153">
        <f>sales[[#This Row],[GrossSales]]*sales[[#This Row],[DiscountRate]]</f>
        <v>1596.6719999999998</v>
      </c>
      <c r="N153">
        <f>sales[[#This Row],[GrossSales]]-sales[[#This Row],[DiscountAmount]]</f>
        <v>9047.8079999999991</v>
      </c>
      <c r="O153">
        <f>sales[[#This Row],[Quantity]]*sales[[#This Row],[UnitCostAtSale]]</f>
        <v>7050</v>
      </c>
      <c r="P153">
        <f>sales[[#This Row],[SalesAfterDiscount]]-sales[[#This Row],[CostOfGoodsSold]]</f>
        <v>1997.8079999999991</v>
      </c>
      <c r="Q153">
        <f>IFERROR(sales[[#This Row],[GrossProfit]]/sales[[#This Row],[SalesAfterDiscount]],0)</f>
        <v>0.22080574654104057</v>
      </c>
    </row>
    <row r="154" spans="1:17">
      <c r="A154" t="s">
        <v>426</v>
      </c>
      <c r="B154" t="s">
        <v>427</v>
      </c>
      <c r="C154" s="1">
        <v>45801</v>
      </c>
      <c r="D154" t="s">
        <v>37</v>
      </c>
      <c r="E154" t="s">
        <v>20</v>
      </c>
      <c r="F154" t="s">
        <v>428</v>
      </c>
      <c r="G154" t="s">
        <v>22</v>
      </c>
      <c r="H154">
        <v>1</v>
      </c>
      <c r="I154">
        <v>17336.23</v>
      </c>
      <c r="J154">
        <v>0</v>
      </c>
      <c r="K154">
        <v>14200</v>
      </c>
      <c r="L154">
        <f>sales[[#This Row],[Quantity]]*sales[[#This Row],[UnitPrice]]</f>
        <v>17336.23</v>
      </c>
      <c r="M154">
        <f>sales[[#This Row],[GrossSales]]*sales[[#This Row],[DiscountRate]]</f>
        <v>0</v>
      </c>
      <c r="N154">
        <f>sales[[#This Row],[GrossSales]]-sales[[#This Row],[DiscountAmount]]</f>
        <v>17336.23</v>
      </c>
      <c r="O154">
        <f>sales[[#This Row],[Quantity]]*sales[[#This Row],[UnitCostAtSale]]</f>
        <v>14200</v>
      </c>
      <c r="P154">
        <f>sales[[#This Row],[SalesAfterDiscount]]-sales[[#This Row],[CostOfGoodsSold]]</f>
        <v>3136.2299999999996</v>
      </c>
      <c r="Q154">
        <f>IFERROR(sales[[#This Row],[GrossProfit]]/sales[[#This Row],[SalesAfterDiscount]],0)</f>
        <v>0.18090611395903258</v>
      </c>
    </row>
    <row r="155" spans="1:17">
      <c r="A155" t="s">
        <v>429</v>
      </c>
      <c r="B155" t="s">
        <v>430</v>
      </c>
      <c r="C155" s="1">
        <v>45898</v>
      </c>
      <c r="D155" t="s">
        <v>37</v>
      </c>
      <c r="E155" t="s">
        <v>72</v>
      </c>
      <c r="F155" t="s">
        <v>152</v>
      </c>
      <c r="G155" t="s">
        <v>16</v>
      </c>
      <c r="H155">
        <v>5</v>
      </c>
      <c r="I155">
        <v>17336.23</v>
      </c>
      <c r="J155">
        <v>0.05</v>
      </c>
      <c r="K155">
        <v>14200</v>
      </c>
      <c r="L155">
        <f>sales[[#This Row],[Quantity]]*sales[[#This Row],[UnitPrice]]</f>
        <v>86681.15</v>
      </c>
      <c r="M155">
        <f>sales[[#This Row],[GrossSales]]*sales[[#This Row],[DiscountRate]]</f>
        <v>4334.0574999999999</v>
      </c>
      <c r="N155">
        <f>sales[[#This Row],[GrossSales]]-sales[[#This Row],[DiscountAmount]]</f>
        <v>82347.092499999999</v>
      </c>
      <c r="O155">
        <f>sales[[#This Row],[Quantity]]*sales[[#This Row],[UnitCostAtSale]]</f>
        <v>71000</v>
      </c>
      <c r="P155">
        <f>sales[[#This Row],[SalesAfterDiscount]]-sales[[#This Row],[CostOfGoodsSold]]</f>
        <v>11347.092499999999</v>
      </c>
      <c r="Q155">
        <f>IFERROR(sales[[#This Row],[GrossProfit]]/sales[[#This Row],[SalesAfterDiscount]],0)</f>
        <v>0.13779590943056064</v>
      </c>
    </row>
    <row r="156" spans="1:17">
      <c r="A156" t="s">
        <v>431</v>
      </c>
      <c r="B156" t="s">
        <v>432</v>
      </c>
      <c r="C156" s="1">
        <v>46087</v>
      </c>
      <c r="D156" t="s">
        <v>49</v>
      </c>
      <c r="E156" t="s">
        <v>72</v>
      </c>
      <c r="F156" t="s">
        <v>263</v>
      </c>
      <c r="G156" t="s">
        <v>22</v>
      </c>
      <c r="H156">
        <v>5</v>
      </c>
      <c r="I156">
        <v>13787.88</v>
      </c>
      <c r="J156">
        <v>0.05</v>
      </c>
      <c r="K156">
        <v>9500</v>
      </c>
      <c r="L156">
        <f>sales[[#This Row],[Quantity]]*sales[[#This Row],[UnitPrice]]</f>
        <v>68939.399999999994</v>
      </c>
      <c r="M156">
        <f>sales[[#This Row],[GrossSales]]*sales[[#This Row],[DiscountRate]]</f>
        <v>3446.97</v>
      </c>
      <c r="N156">
        <f>sales[[#This Row],[GrossSales]]-sales[[#This Row],[DiscountAmount]]</f>
        <v>65492.429999999993</v>
      </c>
      <c r="O156">
        <f>sales[[#This Row],[Quantity]]*sales[[#This Row],[UnitCostAtSale]]</f>
        <v>47500</v>
      </c>
      <c r="P156">
        <f>sales[[#This Row],[SalesAfterDiscount]]-sales[[#This Row],[CostOfGoodsSold]]</f>
        <v>17992.429999999993</v>
      </c>
      <c r="Q156">
        <f>IFERROR(sales[[#This Row],[GrossProfit]]/sales[[#This Row],[SalesAfterDiscount]],0)</f>
        <v>0.27472533848568448</v>
      </c>
    </row>
    <row r="157" spans="1:17">
      <c r="A157" t="s">
        <v>433</v>
      </c>
      <c r="B157" t="s">
        <v>434</v>
      </c>
      <c r="C157" s="1">
        <v>46159</v>
      </c>
      <c r="D157" t="s">
        <v>126</v>
      </c>
      <c r="E157" t="s">
        <v>20</v>
      </c>
      <c r="F157" t="s">
        <v>317</v>
      </c>
      <c r="G157" t="s">
        <v>16</v>
      </c>
      <c r="H157">
        <v>5</v>
      </c>
      <c r="I157">
        <v>17523.439999999999</v>
      </c>
      <c r="J157">
        <v>0.15</v>
      </c>
      <c r="K157">
        <v>11850</v>
      </c>
      <c r="L157">
        <f>sales[[#This Row],[Quantity]]*sales[[#This Row],[UnitPrice]]</f>
        <v>87617.2</v>
      </c>
      <c r="M157">
        <f>sales[[#This Row],[GrossSales]]*sales[[#This Row],[DiscountRate]]</f>
        <v>13142.58</v>
      </c>
      <c r="N157">
        <f>sales[[#This Row],[GrossSales]]-sales[[#This Row],[DiscountAmount]]</f>
        <v>74474.62</v>
      </c>
      <c r="O157">
        <f>sales[[#This Row],[Quantity]]*sales[[#This Row],[UnitCostAtSale]]</f>
        <v>59250</v>
      </c>
      <c r="P157">
        <f>sales[[#This Row],[SalesAfterDiscount]]-sales[[#This Row],[CostOfGoodsSold]]</f>
        <v>15224.619999999995</v>
      </c>
      <c r="Q157">
        <f>IFERROR(sales[[#This Row],[GrossProfit]]/sales[[#This Row],[SalesAfterDiscount]],0)</f>
        <v>0.20442695780119449</v>
      </c>
    </row>
    <row r="158" spans="1:17">
      <c r="A158" t="s">
        <v>435</v>
      </c>
      <c r="B158" t="s">
        <v>436</v>
      </c>
      <c r="C158" s="1">
        <v>46112</v>
      </c>
      <c r="D158" t="s">
        <v>33</v>
      </c>
      <c r="E158" t="s">
        <v>20</v>
      </c>
      <c r="F158" t="s">
        <v>54</v>
      </c>
      <c r="G158" t="s">
        <v>16</v>
      </c>
      <c r="H158">
        <v>4</v>
      </c>
      <c r="I158">
        <v>19237.78</v>
      </c>
      <c r="J158">
        <v>0.05</v>
      </c>
      <c r="K158">
        <v>13150</v>
      </c>
      <c r="L158">
        <f>sales[[#This Row],[Quantity]]*sales[[#This Row],[UnitPrice]]</f>
        <v>76951.12</v>
      </c>
      <c r="M158">
        <f>sales[[#This Row],[GrossSales]]*sales[[#This Row],[DiscountRate]]</f>
        <v>3847.556</v>
      </c>
      <c r="N158">
        <f>sales[[#This Row],[GrossSales]]-sales[[#This Row],[DiscountAmount]]</f>
        <v>73103.563999999998</v>
      </c>
      <c r="O158">
        <f>sales[[#This Row],[Quantity]]*sales[[#This Row],[UnitCostAtSale]]</f>
        <v>52600</v>
      </c>
      <c r="P158">
        <f>sales[[#This Row],[SalesAfterDiscount]]-sales[[#This Row],[CostOfGoodsSold]]</f>
        <v>20503.563999999998</v>
      </c>
      <c r="Q158">
        <f>IFERROR(sales[[#This Row],[GrossProfit]]/sales[[#This Row],[SalesAfterDiscount]],0)</f>
        <v>0.2804728371382823</v>
      </c>
    </row>
    <row r="159" spans="1:17">
      <c r="A159" t="s">
        <v>437</v>
      </c>
      <c r="B159" t="s">
        <v>438</v>
      </c>
      <c r="C159" s="1">
        <v>46025</v>
      </c>
      <c r="D159" t="s">
        <v>64</v>
      </c>
      <c r="E159" t="s">
        <v>20</v>
      </c>
      <c r="F159" t="s">
        <v>61</v>
      </c>
      <c r="G159" t="s">
        <v>22</v>
      </c>
      <c r="H159">
        <v>1</v>
      </c>
      <c r="I159">
        <v>2056.0100000000002</v>
      </c>
      <c r="J159">
        <v>0.15</v>
      </c>
      <c r="K159">
        <v>1350</v>
      </c>
      <c r="L159">
        <f>sales[[#This Row],[Quantity]]*sales[[#This Row],[UnitPrice]]</f>
        <v>2056.0100000000002</v>
      </c>
      <c r="M159">
        <f>sales[[#This Row],[GrossSales]]*sales[[#This Row],[DiscountRate]]</f>
        <v>308.4015</v>
      </c>
      <c r="N159">
        <f>sales[[#This Row],[GrossSales]]-sales[[#This Row],[DiscountAmount]]</f>
        <v>1747.6085000000003</v>
      </c>
      <c r="O159">
        <f>sales[[#This Row],[Quantity]]*sales[[#This Row],[UnitCostAtSale]]</f>
        <v>1350</v>
      </c>
      <c r="P159">
        <f>sales[[#This Row],[SalesAfterDiscount]]-sales[[#This Row],[CostOfGoodsSold]]</f>
        <v>397.60850000000028</v>
      </c>
      <c r="Q159">
        <f>IFERROR(sales[[#This Row],[GrossProfit]]/sales[[#This Row],[SalesAfterDiscount]],0)</f>
        <v>0.22751577369874329</v>
      </c>
    </row>
    <row r="160" spans="1:17">
      <c r="A160" t="s">
        <v>439</v>
      </c>
      <c r="B160" t="s">
        <v>440</v>
      </c>
      <c r="C160" s="1">
        <v>46123</v>
      </c>
      <c r="D160" t="s">
        <v>76</v>
      </c>
      <c r="E160" t="s">
        <v>46</v>
      </c>
      <c r="F160" t="s">
        <v>38</v>
      </c>
      <c r="G160" t="s">
        <v>22</v>
      </c>
      <c r="H160">
        <v>1</v>
      </c>
      <c r="I160">
        <v>11999.07</v>
      </c>
      <c r="J160">
        <v>0.05</v>
      </c>
      <c r="K160">
        <v>9550</v>
      </c>
      <c r="L160">
        <f>sales[[#This Row],[Quantity]]*sales[[#This Row],[UnitPrice]]</f>
        <v>11999.07</v>
      </c>
      <c r="M160">
        <f>sales[[#This Row],[GrossSales]]*sales[[#This Row],[DiscountRate]]</f>
        <v>599.95349999999996</v>
      </c>
      <c r="N160">
        <f>sales[[#This Row],[GrossSales]]-sales[[#This Row],[DiscountAmount]]</f>
        <v>11399.1165</v>
      </c>
      <c r="O160">
        <f>sales[[#This Row],[Quantity]]*sales[[#This Row],[UnitCostAtSale]]</f>
        <v>9550</v>
      </c>
      <c r="P160">
        <f>sales[[#This Row],[SalesAfterDiscount]]-sales[[#This Row],[CostOfGoodsSold]]</f>
        <v>1849.1165000000001</v>
      </c>
      <c r="Q160">
        <f>IFERROR(sales[[#This Row],[GrossProfit]]/sales[[#This Row],[SalesAfterDiscount]],0)</f>
        <v>0.16221577347683042</v>
      </c>
    </row>
    <row r="161" spans="1:17">
      <c r="A161" t="s">
        <v>441</v>
      </c>
      <c r="B161" t="s">
        <v>442</v>
      </c>
      <c r="C161" s="1">
        <v>45999</v>
      </c>
      <c r="D161" t="s">
        <v>416</v>
      </c>
      <c r="E161" t="s">
        <v>46</v>
      </c>
      <c r="F161" t="s">
        <v>119</v>
      </c>
      <c r="G161" t="s">
        <v>22</v>
      </c>
      <c r="H161">
        <v>2</v>
      </c>
      <c r="I161">
        <v>3804.25</v>
      </c>
      <c r="J161">
        <v>0.05</v>
      </c>
      <c r="K161">
        <v>2800</v>
      </c>
      <c r="L161">
        <f>sales[[#This Row],[Quantity]]*sales[[#This Row],[UnitPrice]]</f>
        <v>7608.5</v>
      </c>
      <c r="M161">
        <f>sales[[#This Row],[GrossSales]]*sales[[#This Row],[DiscountRate]]</f>
        <v>380.42500000000001</v>
      </c>
      <c r="N161">
        <f>sales[[#This Row],[GrossSales]]-sales[[#This Row],[DiscountAmount]]</f>
        <v>7228.0749999999998</v>
      </c>
      <c r="O161">
        <f>sales[[#This Row],[Quantity]]*sales[[#This Row],[UnitCostAtSale]]</f>
        <v>5600</v>
      </c>
      <c r="P161">
        <f>sales[[#This Row],[SalesAfterDiscount]]-sales[[#This Row],[CostOfGoodsSold]]</f>
        <v>1628.0749999999998</v>
      </c>
      <c r="Q161">
        <f>IFERROR(sales[[#This Row],[GrossProfit]]/sales[[#This Row],[SalesAfterDiscount]],0)</f>
        <v>0.22524323557793741</v>
      </c>
    </row>
    <row r="162" spans="1:17">
      <c r="A162" t="s">
        <v>443</v>
      </c>
      <c r="B162" t="s">
        <v>444</v>
      </c>
      <c r="C162" s="1">
        <v>45870</v>
      </c>
      <c r="D162" t="s">
        <v>126</v>
      </c>
      <c r="E162" t="s">
        <v>50</v>
      </c>
      <c r="F162" t="s">
        <v>186</v>
      </c>
      <c r="G162" t="s">
        <v>22</v>
      </c>
      <c r="H162">
        <v>5</v>
      </c>
      <c r="I162">
        <v>17523.439999999999</v>
      </c>
      <c r="J162">
        <v>0.05</v>
      </c>
      <c r="K162">
        <v>11850</v>
      </c>
      <c r="L162">
        <f>sales[[#This Row],[Quantity]]*sales[[#This Row],[UnitPrice]]</f>
        <v>87617.2</v>
      </c>
      <c r="M162">
        <f>sales[[#This Row],[GrossSales]]*sales[[#This Row],[DiscountRate]]</f>
        <v>4380.8599999999997</v>
      </c>
      <c r="N162">
        <f>sales[[#This Row],[GrossSales]]-sales[[#This Row],[DiscountAmount]]</f>
        <v>83236.34</v>
      </c>
      <c r="O162">
        <f>sales[[#This Row],[Quantity]]*sales[[#This Row],[UnitCostAtSale]]</f>
        <v>59250</v>
      </c>
      <c r="P162">
        <f>sales[[#This Row],[SalesAfterDiscount]]-sales[[#This Row],[CostOfGoodsSold]]</f>
        <v>23986.339999999997</v>
      </c>
      <c r="Q162">
        <f>IFERROR(sales[[#This Row],[GrossProfit]]/sales[[#This Row],[SalesAfterDiscount]],0)</f>
        <v>0.28817148855896352</v>
      </c>
    </row>
    <row r="163" spans="1:17">
      <c r="A163" t="s">
        <v>445</v>
      </c>
      <c r="B163" t="s">
        <v>446</v>
      </c>
      <c r="C163" s="1">
        <v>45660</v>
      </c>
      <c r="D163" t="s">
        <v>416</v>
      </c>
      <c r="E163" t="s">
        <v>50</v>
      </c>
      <c r="F163" t="s">
        <v>134</v>
      </c>
      <c r="G163" t="s">
        <v>16</v>
      </c>
      <c r="H163">
        <v>3</v>
      </c>
      <c r="I163">
        <v>3804.25</v>
      </c>
      <c r="J163">
        <v>0.05</v>
      </c>
      <c r="K163">
        <v>2800</v>
      </c>
      <c r="L163">
        <f>sales[[#This Row],[Quantity]]*sales[[#This Row],[UnitPrice]]</f>
        <v>11412.75</v>
      </c>
      <c r="M163">
        <f>sales[[#This Row],[GrossSales]]*sales[[#This Row],[DiscountRate]]</f>
        <v>570.63750000000005</v>
      </c>
      <c r="N163">
        <f>sales[[#This Row],[GrossSales]]-sales[[#This Row],[DiscountAmount]]</f>
        <v>10842.112499999999</v>
      </c>
      <c r="O163">
        <f>sales[[#This Row],[Quantity]]*sales[[#This Row],[UnitCostAtSale]]</f>
        <v>8400</v>
      </c>
      <c r="P163">
        <f>sales[[#This Row],[SalesAfterDiscount]]-sales[[#This Row],[CostOfGoodsSold]]</f>
        <v>2442.1124999999993</v>
      </c>
      <c r="Q163">
        <f>IFERROR(sales[[#This Row],[GrossProfit]]/sales[[#This Row],[SalesAfterDiscount]],0)</f>
        <v>0.22524323557793738</v>
      </c>
    </row>
    <row r="164" spans="1:17">
      <c r="A164" t="s">
        <v>447</v>
      </c>
      <c r="B164" t="s">
        <v>448</v>
      </c>
      <c r="C164" s="1">
        <v>45836</v>
      </c>
      <c r="D164" t="s">
        <v>416</v>
      </c>
      <c r="E164" t="s">
        <v>50</v>
      </c>
      <c r="F164" t="s">
        <v>103</v>
      </c>
      <c r="G164" t="s">
        <v>16</v>
      </c>
      <c r="H164">
        <v>1</v>
      </c>
      <c r="I164">
        <v>3804.25</v>
      </c>
      <c r="J164">
        <v>0</v>
      </c>
      <c r="K164">
        <v>2800</v>
      </c>
      <c r="L164">
        <f>sales[[#This Row],[Quantity]]*sales[[#This Row],[UnitPrice]]</f>
        <v>3804.25</v>
      </c>
      <c r="M164">
        <f>sales[[#This Row],[GrossSales]]*sales[[#This Row],[DiscountRate]]</f>
        <v>0</v>
      </c>
      <c r="N164">
        <f>sales[[#This Row],[GrossSales]]-sales[[#This Row],[DiscountAmount]]</f>
        <v>3804.25</v>
      </c>
      <c r="O164">
        <f>sales[[#This Row],[Quantity]]*sales[[#This Row],[UnitCostAtSale]]</f>
        <v>2800</v>
      </c>
      <c r="P164">
        <f>sales[[#This Row],[SalesAfterDiscount]]-sales[[#This Row],[CostOfGoodsSold]]</f>
        <v>1004.25</v>
      </c>
      <c r="Q164">
        <f>IFERROR(sales[[#This Row],[GrossProfit]]/sales[[#This Row],[SalesAfterDiscount]],0)</f>
        <v>0.26398107379904057</v>
      </c>
    </row>
    <row r="165" spans="1:17">
      <c r="A165" t="s">
        <v>449</v>
      </c>
      <c r="B165" t="s">
        <v>450</v>
      </c>
      <c r="C165" s="1">
        <v>45901</v>
      </c>
      <c r="D165" t="s">
        <v>416</v>
      </c>
      <c r="E165" t="s">
        <v>14</v>
      </c>
      <c r="F165" t="s">
        <v>196</v>
      </c>
      <c r="G165" t="s">
        <v>16</v>
      </c>
      <c r="H165">
        <v>5</v>
      </c>
      <c r="I165">
        <v>3804.25</v>
      </c>
      <c r="J165">
        <v>0.1</v>
      </c>
      <c r="K165">
        <v>2800</v>
      </c>
      <c r="L165">
        <f>sales[[#This Row],[Quantity]]*sales[[#This Row],[UnitPrice]]</f>
        <v>19021.25</v>
      </c>
      <c r="M165">
        <f>sales[[#This Row],[GrossSales]]*sales[[#This Row],[DiscountRate]]</f>
        <v>1902.125</v>
      </c>
      <c r="N165">
        <f>sales[[#This Row],[GrossSales]]-sales[[#This Row],[DiscountAmount]]</f>
        <v>17119.125</v>
      </c>
      <c r="O165">
        <f>sales[[#This Row],[Quantity]]*sales[[#This Row],[UnitCostAtSale]]</f>
        <v>14000</v>
      </c>
      <c r="P165">
        <f>sales[[#This Row],[SalesAfterDiscount]]-sales[[#This Row],[CostOfGoodsSold]]</f>
        <v>3119.125</v>
      </c>
      <c r="Q165">
        <f>IFERROR(sales[[#This Row],[GrossProfit]]/sales[[#This Row],[SalesAfterDiscount]],0)</f>
        <v>0.18220119311004504</v>
      </c>
    </row>
    <row r="166" spans="1:17">
      <c r="A166" t="s">
        <v>451</v>
      </c>
      <c r="B166" t="s">
        <v>452</v>
      </c>
      <c r="C166" s="1">
        <v>45787</v>
      </c>
      <c r="D166" t="s">
        <v>60</v>
      </c>
      <c r="E166" t="s">
        <v>14</v>
      </c>
      <c r="F166" t="s">
        <v>324</v>
      </c>
      <c r="G166" t="s">
        <v>22</v>
      </c>
      <c r="H166">
        <v>4</v>
      </c>
      <c r="I166">
        <v>9389.4699999999993</v>
      </c>
      <c r="J166">
        <v>0.2</v>
      </c>
      <c r="K166">
        <v>7250</v>
      </c>
      <c r="L166">
        <f>sales[[#This Row],[Quantity]]*sales[[#This Row],[UnitPrice]]</f>
        <v>37557.879999999997</v>
      </c>
      <c r="M166">
        <f>sales[[#This Row],[GrossSales]]*sales[[#This Row],[DiscountRate]]</f>
        <v>7511.576</v>
      </c>
      <c r="N166">
        <f>sales[[#This Row],[GrossSales]]-sales[[#This Row],[DiscountAmount]]</f>
        <v>30046.303999999996</v>
      </c>
      <c r="O166">
        <f>sales[[#This Row],[Quantity]]*sales[[#This Row],[UnitCostAtSale]]</f>
        <v>29000</v>
      </c>
      <c r="P166">
        <f>sales[[#This Row],[SalesAfterDiscount]]-sales[[#This Row],[CostOfGoodsSold]]</f>
        <v>1046.3039999999964</v>
      </c>
      <c r="Q166">
        <f>IFERROR(sales[[#This Row],[GrossProfit]]/sales[[#This Row],[SalesAfterDiscount]],0)</f>
        <v>3.4823051780345317E-2</v>
      </c>
    </row>
    <row r="167" spans="1:17">
      <c r="A167" t="s">
        <v>453</v>
      </c>
      <c r="B167" t="s">
        <v>454</v>
      </c>
      <c r="C167" s="1">
        <v>46117</v>
      </c>
      <c r="D167" t="s">
        <v>19</v>
      </c>
      <c r="E167" t="s">
        <v>46</v>
      </c>
      <c r="F167" t="s">
        <v>116</v>
      </c>
      <c r="G167" t="s">
        <v>16</v>
      </c>
      <c r="H167">
        <v>3</v>
      </c>
      <c r="I167">
        <v>12193.29</v>
      </c>
      <c r="J167">
        <v>0.2</v>
      </c>
      <c r="K167">
        <v>9950</v>
      </c>
      <c r="L167">
        <f>sales[[#This Row],[Quantity]]*sales[[#This Row],[UnitPrice]]</f>
        <v>36579.870000000003</v>
      </c>
      <c r="M167">
        <f>sales[[#This Row],[GrossSales]]*sales[[#This Row],[DiscountRate]]</f>
        <v>7315.9740000000011</v>
      </c>
      <c r="N167">
        <f>sales[[#This Row],[GrossSales]]-sales[[#This Row],[DiscountAmount]]</f>
        <v>29263.896000000001</v>
      </c>
      <c r="O167">
        <f>sales[[#This Row],[Quantity]]*sales[[#This Row],[UnitCostAtSale]]</f>
        <v>29850</v>
      </c>
      <c r="P167">
        <f>sales[[#This Row],[SalesAfterDiscount]]-sales[[#This Row],[CostOfGoodsSold]]</f>
        <v>-586.10399999999936</v>
      </c>
      <c r="Q167">
        <f>IFERROR(sales[[#This Row],[GrossProfit]]/sales[[#This Row],[SalesAfterDiscount]],0)</f>
        <v>-2.0028228640506355E-2</v>
      </c>
    </row>
    <row r="168" spans="1:17">
      <c r="A168" t="s">
        <v>455</v>
      </c>
      <c r="B168" t="s">
        <v>456</v>
      </c>
      <c r="C168" s="1">
        <v>45884</v>
      </c>
      <c r="D168" t="s">
        <v>122</v>
      </c>
      <c r="E168" t="s">
        <v>46</v>
      </c>
      <c r="F168" t="s">
        <v>220</v>
      </c>
      <c r="G168" t="s">
        <v>16</v>
      </c>
      <c r="H168">
        <v>5</v>
      </c>
      <c r="I168">
        <v>13246.95</v>
      </c>
      <c r="J168">
        <v>0</v>
      </c>
      <c r="K168">
        <v>9050</v>
      </c>
      <c r="L168">
        <f>sales[[#This Row],[Quantity]]*sales[[#This Row],[UnitPrice]]</f>
        <v>66234.75</v>
      </c>
      <c r="M168">
        <f>sales[[#This Row],[GrossSales]]*sales[[#This Row],[DiscountRate]]</f>
        <v>0</v>
      </c>
      <c r="N168">
        <f>sales[[#This Row],[GrossSales]]-sales[[#This Row],[DiscountAmount]]</f>
        <v>66234.75</v>
      </c>
      <c r="O168">
        <f>sales[[#This Row],[Quantity]]*sales[[#This Row],[UnitCostAtSale]]</f>
        <v>45250</v>
      </c>
      <c r="P168">
        <f>sales[[#This Row],[SalesAfterDiscount]]-sales[[#This Row],[CostOfGoodsSold]]</f>
        <v>20984.75</v>
      </c>
      <c r="Q168">
        <f>IFERROR(sales[[#This Row],[GrossProfit]]/sales[[#This Row],[SalesAfterDiscount]],0)</f>
        <v>0.31682387266502854</v>
      </c>
    </row>
    <row r="169" spans="1:17">
      <c r="A169" t="s">
        <v>457</v>
      </c>
      <c r="B169" t="s">
        <v>458</v>
      </c>
      <c r="C169" s="1">
        <v>45689</v>
      </c>
      <c r="D169" t="s">
        <v>130</v>
      </c>
      <c r="E169" t="s">
        <v>72</v>
      </c>
      <c r="F169" t="s">
        <v>459</v>
      </c>
      <c r="G169" t="s">
        <v>22</v>
      </c>
      <c r="H169">
        <v>1</v>
      </c>
      <c r="I169">
        <v>12166.11</v>
      </c>
      <c r="J169">
        <v>0.15</v>
      </c>
      <c r="K169">
        <v>7750</v>
      </c>
      <c r="L169">
        <f>sales[[#This Row],[Quantity]]*sales[[#This Row],[UnitPrice]]</f>
        <v>12166.11</v>
      </c>
      <c r="M169">
        <f>sales[[#This Row],[GrossSales]]*sales[[#This Row],[DiscountRate]]</f>
        <v>1824.9165</v>
      </c>
      <c r="N169">
        <f>sales[[#This Row],[GrossSales]]-sales[[#This Row],[DiscountAmount]]</f>
        <v>10341.193500000001</v>
      </c>
      <c r="O169">
        <f>sales[[#This Row],[Quantity]]*sales[[#This Row],[UnitCostAtSale]]</f>
        <v>7750</v>
      </c>
      <c r="P169">
        <f>sales[[#This Row],[SalesAfterDiscount]]-sales[[#This Row],[CostOfGoodsSold]]</f>
        <v>2591.1935000000012</v>
      </c>
      <c r="Q169">
        <f>IFERROR(sales[[#This Row],[GrossProfit]]/sales[[#This Row],[SalesAfterDiscount]],0)</f>
        <v>0.25057006234338436</v>
      </c>
    </row>
    <row r="170" spans="1:17">
      <c r="A170" t="s">
        <v>460</v>
      </c>
      <c r="B170" t="s">
        <v>461</v>
      </c>
      <c r="C170" s="1">
        <v>46112</v>
      </c>
      <c r="D170" t="s">
        <v>19</v>
      </c>
      <c r="E170" t="s">
        <v>20</v>
      </c>
      <c r="F170" t="s">
        <v>164</v>
      </c>
      <c r="G170" t="s">
        <v>22</v>
      </c>
      <c r="H170">
        <v>1</v>
      </c>
      <c r="I170">
        <v>12193.29</v>
      </c>
      <c r="J170">
        <v>0</v>
      </c>
      <c r="K170">
        <v>9950</v>
      </c>
      <c r="L170">
        <f>sales[[#This Row],[Quantity]]*sales[[#This Row],[UnitPrice]]</f>
        <v>12193.29</v>
      </c>
      <c r="M170">
        <f>sales[[#This Row],[GrossSales]]*sales[[#This Row],[DiscountRate]]</f>
        <v>0</v>
      </c>
      <c r="N170">
        <f>sales[[#This Row],[GrossSales]]-sales[[#This Row],[DiscountAmount]]</f>
        <v>12193.29</v>
      </c>
      <c r="O170">
        <f>sales[[#This Row],[Quantity]]*sales[[#This Row],[UnitCostAtSale]]</f>
        <v>9950</v>
      </c>
      <c r="P170">
        <f>sales[[#This Row],[SalesAfterDiscount]]-sales[[#This Row],[CostOfGoodsSold]]</f>
        <v>2243.2900000000009</v>
      </c>
      <c r="Q170">
        <f>IFERROR(sales[[#This Row],[GrossProfit]]/sales[[#This Row],[SalesAfterDiscount]],0)</f>
        <v>0.18397741708759496</v>
      </c>
    </row>
    <row r="171" spans="1:17">
      <c r="A171" t="s">
        <v>462</v>
      </c>
      <c r="B171" t="s">
        <v>463</v>
      </c>
      <c r="C171" s="1">
        <v>45787</v>
      </c>
      <c r="D171" t="s">
        <v>71</v>
      </c>
      <c r="E171" t="s">
        <v>46</v>
      </c>
      <c r="F171" t="s">
        <v>203</v>
      </c>
      <c r="G171" t="s">
        <v>16</v>
      </c>
      <c r="H171">
        <v>3</v>
      </c>
      <c r="I171">
        <v>5799.34</v>
      </c>
      <c r="J171">
        <v>0.2</v>
      </c>
      <c r="K171">
        <v>3800</v>
      </c>
      <c r="L171">
        <f>sales[[#This Row],[Quantity]]*sales[[#This Row],[UnitPrice]]</f>
        <v>17398.02</v>
      </c>
      <c r="M171">
        <f>sales[[#This Row],[GrossSales]]*sales[[#This Row],[DiscountRate]]</f>
        <v>3479.6040000000003</v>
      </c>
      <c r="N171">
        <f>sales[[#This Row],[GrossSales]]-sales[[#This Row],[DiscountAmount]]</f>
        <v>13918.416000000001</v>
      </c>
      <c r="O171">
        <f>sales[[#This Row],[Quantity]]*sales[[#This Row],[UnitCostAtSale]]</f>
        <v>11400</v>
      </c>
      <c r="P171">
        <f>sales[[#This Row],[SalesAfterDiscount]]-sales[[#This Row],[CostOfGoodsSold]]</f>
        <v>2518.4160000000011</v>
      </c>
      <c r="Q171">
        <f>IFERROR(sales[[#This Row],[GrossProfit]]/sales[[#This Row],[SalesAfterDiscount]],0)</f>
        <v>0.18094127952491151</v>
      </c>
    </row>
    <row r="172" spans="1:17">
      <c r="A172" t="s">
        <v>464</v>
      </c>
      <c r="B172" t="s">
        <v>465</v>
      </c>
      <c r="C172" s="1">
        <v>45959</v>
      </c>
      <c r="D172" t="s">
        <v>151</v>
      </c>
      <c r="E172" t="s">
        <v>46</v>
      </c>
      <c r="F172" t="s">
        <v>137</v>
      </c>
      <c r="G172" t="s">
        <v>22</v>
      </c>
      <c r="H172">
        <v>4</v>
      </c>
      <c r="I172">
        <v>11729.87</v>
      </c>
      <c r="J172">
        <v>0.2</v>
      </c>
      <c r="K172">
        <v>8950</v>
      </c>
      <c r="L172">
        <f>sales[[#This Row],[Quantity]]*sales[[#This Row],[UnitPrice]]</f>
        <v>46919.48</v>
      </c>
      <c r="M172">
        <f>sales[[#This Row],[GrossSales]]*sales[[#This Row],[DiscountRate]]</f>
        <v>9383.8960000000006</v>
      </c>
      <c r="N172">
        <f>sales[[#This Row],[GrossSales]]-sales[[#This Row],[DiscountAmount]]</f>
        <v>37535.584000000003</v>
      </c>
      <c r="O172">
        <f>sales[[#This Row],[Quantity]]*sales[[#This Row],[UnitCostAtSale]]</f>
        <v>35800</v>
      </c>
      <c r="P172">
        <f>sales[[#This Row],[SalesAfterDiscount]]-sales[[#This Row],[CostOfGoodsSold]]</f>
        <v>1735.5840000000026</v>
      </c>
      <c r="Q172">
        <f>IFERROR(sales[[#This Row],[GrossProfit]]/sales[[#This Row],[SalesAfterDiscount]],0)</f>
        <v>4.6238364108042183E-2</v>
      </c>
    </row>
    <row r="173" spans="1:17">
      <c r="A173" t="s">
        <v>466</v>
      </c>
      <c r="B173" t="s">
        <v>467</v>
      </c>
      <c r="C173" s="1">
        <v>45775</v>
      </c>
      <c r="D173" t="s">
        <v>416</v>
      </c>
      <c r="E173" t="s">
        <v>72</v>
      </c>
      <c r="F173" t="s">
        <v>468</v>
      </c>
      <c r="G173" t="s">
        <v>22</v>
      </c>
      <c r="H173">
        <v>5</v>
      </c>
      <c r="I173">
        <v>3804.25</v>
      </c>
      <c r="J173">
        <v>0.05</v>
      </c>
      <c r="K173">
        <v>2800</v>
      </c>
      <c r="L173">
        <f>sales[[#This Row],[Quantity]]*sales[[#This Row],[UnitPrice]]</f>
        <v>19021.25</v>
      </c>
      <c r="M173">
        <f>sales[[#This Row],[GrossSales]]*sales[[#This Row],[DiscountRate]]</f>
        <v>951.0625</v>
      </c>
      <c r="N173">
        <f>sales[[#This Row],[GrossSales]]-sales[[#This Row],[DiscountAmount]]</f>
        <v>18070.1875</v>
      </c>
      <c r="O173">
        <f>sales[[#This Row],[Quantity]]*sales[[#This Row],[UnitCostAtSale]]</f>
        <v>14000</v>
      </c>
      <c r="P173">
        <f>sales[[#This Row],[SalesAfterDiscount]]-sales[[#This Row],[CostOfGoodsSold]]</f>
        <v>4070.1875</v>
      </c>
      <c r="Q173">
        <f>IFERROR(sales[[#This Row],[GrossProfit]]/sales[[#This Row],[SalesAfterDiscount]],0)</f>
        <v>0.22524323557793741</v>
      </c>
    </row>
    <row r="174" spans="1:17">
      <c r="A174" t="s">
        <v>469</v>
      </c>
      <c r="B174" t="s">
        <v>470</v>
      </c>
      <c r="C174" s="1">
        <v>46005</v>
      </c>
      <c r="D174" t="s">
        <v>316</v>
      </c>
      <c r="E174" t="s">
        <v>72</v>
      </c>
      <c r="F174" t="s">
        <v>471</v>
      </c>
      <c r="G174" t="s">
        <v>22</v>
      </c>
      <c r="H174">
        <v>4</v>
      </c>
      <c r="I174">
        <v>9371.8700000000008</v>
      </c>
      <c r="J174">
        <v>0.15</v>
      </c>
      <c r="K174">
        <v>5750</v>
      </c>
      <c r="L174">
        <f>sales[[#This Row],[Quantity]]*sales[[#This Row],[UnitPrice]]</f>
        <v>37487.480000000003</v>
      </c>
      <c r="M174">
        <f>sales[[#This Row],[GrossSales]]*sales[[#This Row],[DiscountRate]]</f>
        <v>5623.1220000000003</v>
      </c>
      <c r="N174">
        <f>sales[[#This Row],[GrossSales]]-sales[[#This Row],[DiscountAmount]]</f>
        <v>31864.358000000004</v>
      </c>
      <c r="O174">
        <f>sales[[#This Row],[Quantity]]*sales[[#This Row],[UnitCostAtSale]]</f>
        <v>23000</v>
      </c>
      <c r="P174">
        <f>sales[[#This Row],[SalesAfterDiscount]]-sales[[#This Row],[CostOfGoodsSold]]</f>
        <v>8864.3580000000038</v>
      </c>
      <c r="Q174">
        <f>IFERROR(sales[[#This Row],[GrossProfit]]/sales[[#This Row],[SalesAfterDiscount]],0)</f>
        <v>0.27819038437868426</v>
      </c>
    </row>
    <row r="175" spans="1:17">
      <c r="A175" t="s">
        <v>472</v>
      </c>
      <c r="B175" t="s">
        <v>473</v>
      </c>
      <c r="C175" s="1">
        <v>46095</v>
      </c>
      <c r="D175" t="s">
        <v>286</v>
      </c>
      <c r="E175" t="s">
        <v>20</v>
      </c>
      <c r="F175" t="s">
        <v>474</v>
      </c>
      <c r="G175" t="s">
        <v>16</v>
      </c>
      <c r="H175">
        <v>3</v>
      </c>
      <c r="I175">
        <v>614.66</v>
      </c>
      <c r="J175">
        <v>0.1</v>
      </c>
      <c r="K175">
        <v>400</v>
      </c>
      <c r="L175">
        <f>sales[[#This Row],[Quantity]]*sales[[#This Row],[UnitPrice]]</f>
        <v>1843.98</v>
      </c>
      <c r="M175">
        <f>sales[[#This Row],[GrossSales]]*sales[[#This Row],[DiscountRate]]</f>
        <v>184.39800000000002</v>
      </c>
      <c r="N175">
        <f>sales[[#This Row],[GrossSales]]-sales[[#This Row],[DiscountAmount]]</f>
        <v>1659.5819999999999</v>
      </c>
      <c r="O175">
        <f>sales[[#This Row],[Quantity]]*sales[[#This Row],[UnitCostAtSale]]</f>
        <v>1200</v>
      </c>
      <c r="P175">
        <f>sales[[#This Row],[SalesAfterDiscount]]-sales[[#This Row],[CostOfGoodsSold]]</f>
        <v>459.58199999999988</v>
      </c>
      <c r="Q175">
        <f>IFERROR(sales[[#This Row],[GrossProfit]]/sales[[#This Row],[SalesAfterDiscount]],0)</f>
        <v>0.27692635856498798</v>
      </c>
    </row>
    <row r="176" spans="1:17">
      <c r="A176" t="s">
        <v>475</v>
      </c>
      <c r="B176" t="s">
        <v>476</v>
      </c>
      <c r="C176" s="1">
        <v>45751</v>
      </c>
      <c r="D176" t="s">
        <v>71</v>
      </c>
      <c r="E176" t="s">
        <v>72</v>
      </c>
      <c r="F176" t="s">
        <v>54</v>
      </c>
      <c r="G176" t="s">
        <v>16</v>
      </c>
      <c r="H176">
        <v>1</v>
      </c>
      <c r="I176">
        <v>5799.34</v>
      </c>
      <c r="J176">
        <v>0</v>
      </c>
      <c r="K176">
        <v>3800</v>
      </c>
      <c r="L176">
        <f>sales[[#This Row],[Quantity]]*sales[[#This Row],[UnitPrice]]</f>
        <v>5799.34</v>
      </c>
      <c r="M176">
        <f>sales[[#This Row],[GrossSales]]*sales[[#This Row],[DiscountRate]]</f>
        <v>0</v>
      </c>
      <c r="N176">
        <f>sales[[#This Row],[GrossSales]]-sales[[#This Row],[DiscountAmount]]</f>
        <v>5799.34</v>
      </c>
      <c r="O176">
        <f>sales[[#This Row],[Quantity]]*sales[[#This Row],[UnitCostAtSale]]</f>
        <v>3800</v>
      </c>
      <c r="P176">
        <f>sales[[#This Row],[SalesAfterDiscount]]-sales[[#This Row],[CostOfGoodsSold]]</f>
        <v>1999.3400000000001</v>
      </c>
      <c r="Q176">
        <f>IFERROR(sales[[#This Row],[GrossProfit]]/sales[[#This Row],[SalesAfterDiscount]],0)</f>
        <v>0.34475302361992916</v>
      </c>
    </row>
    <row r="177" spans="1:17">
      <c r="A177" t="s">
        <v>477</v>
      </c>
      <c r="B177" t="s">
        <v>478</v>
      </c>
      <c r="C177" s="1">
        <v>45791</v>
      </c>
      <c r="D177" t="s">
        <v>416</v>
      </c>
      <c r="E177" t="s">
        <v>46</v>
      </c>
      <c r="F177" t="s">
        <v>479</v>
      </c>
      <c r="G177" t="s">
        <v>16</v>
      </c>
      <c r="H177">
        <v>5</v>
      </c>
      <c r="I177">
        <v>3804.25</v>
      </c>
      <c r="J177">
        <v>0</v>
      </c>
      <c r="K177">
        <v>2800</v>
      </c>
      <c r="L177">
        <f>sales[[#This Row],[Quantity]]*sales[[#This Row],[UnitPrice]]</f>
        <v>19021.25</v>
      </c>
      <c r="M177">
        <f>sales[[#This Row],[GrossSales]]*sales[[#This Row],[DiscountRate]]</f>
        <v>0</v>
      </c>
      <c r="N177">
        <f>sales[[#This Row],[GrossSales]]-sales[[#This Row],[DiscountAmount]]</f>
        <v>19021.25</v>
      </c>
      <c r="O177">
        <f>sales[[#This Row],[Quantity]]*sales[[#This Row],[UnitCostAtSale]]</f>
        <v>14000</v>
      </c>
      <c r="P177">
        <f>sales[[#This Row],[SalesAfterDiscount]]-sales[[#This Row],[CostOfGoodsSold]]</f>
        <v>5021.25</v>
      </c>
      <c r="Q177">
        <f>IFERROR(sales[[#This Row],[GrossProfit]]/sales[[#This Row],[SalesAfterDiscount]],0)</f>
        <v>0.26398107379904057</v>
      </c>
    </row>
    <row r="178" spans="1:17">
      <c r="A178" t="s">
        <v>480</v>
      </c>
      <c r="B178" t="s">
        <v>481</v>
      </c>
      <c r="C178" s="1">
        <v>45783</v>
      </c>
      <c r="D178" t="s">
        <v>49</v>
      </c>
      <c r="E178" t="s">
        <v>72</v>
      </c>
      <c r="F178" t="s">
        <v>51</v>
      </c>
      <c r="G178" t="s">
        <v>22</v>
      </c>
      <c r="H178">
        <v>4</v>
      </c>
      <c r="I178">
        <v>13787.88</v>
      </c>
      <c r="J178">
        <v>0.1</v>
      </c>
      <c r="K178">
        <v>9500</v>
      </c>
      <c r="L178">
        <f>sales[[#This Row],[Quantity]]*sales[[#This Row],[UnitPrice]]</f>
        <v>55151.519999999997</v>
      </c>
      <c r="M178">
        <f>sales[[#This Row],[GrossSales]]*sales[[#This Row],[DiscountRate]]</f>
        <v>5515.152</v>
      </c>
      <c r="N178">
        <f>sales[[#This Row],[GrossSales]]-sales[[#This Row],[DiscountAmount]]</f>
        <v>49636.367999999995</v>
      </c>
      <c r="O178">
        <f>sales[[#This Row],[Quantity]]*sales[[#This Row],[UnitCostAtSale]]</f>
        <v>38000</v>
      </c>
      <c r="P178">
        <f>sales[[#This Row],[SalesAfterDiscount]]-sales[[#This Row],[CostOfGoodsSold]]</f>
        <v>11636.367999999995</v>
      </c>
      <c r="Q178">
        <f>IFERROR(sales[[#This Row],[GrossProfit]]/sales[[#This Row],[SalesAfterDiscount]],0)</f>
        <v>0.23443230173488916</v>
      </c>
    </row>
    <row r="179" spans="1:17">
      <c r="A179" t="s">
        <v>482</v>
      </c>
      <c r="B179" t="s">
        <v>483</v>
      </c>
      <c r="C179" s="1">
        <v>45977</v>
      </c>
      <c r="D179" t="s">
        <v>155</v>
      </c>
      <c r="E179" t="s">
        <v>46</v>
      </c>
      <c r="F179" t="s">
        <v>106</v>
      </c>
      <c r="G179" t="s">
        <v>22</v>
      </c>
      <c r="H179">
        <v>3</v>
      </c>
      <c r="I179">
        <v>17046.37</v>
      </c>
      <c r="J179">
        <v>0</v>
      </c>
      <c r="K179">
        <v>11700</v>
      </c>
      <c r="L179">
        <f>sales[[#This Row],[Quantity]]*sales[[#This Row],[UnitPrice]]</f>
        <v>51139.11</v>
      </c>
      <c r="M179">
        <f>sales[[#This Row],[GrossSales]]*sales[[#This Row],[DiscountRate]]</f>
        <v>0</v>
      </c>
      <c r="N179">
        <f>sales[[#This Row],[GrossSales]]-sales[[#This Row],[DiscountAmount]]</f>
        <v>51139.11</v>
      </c>
      <c r="O179">
        <f>sales[[#This Row],[Quantity]]*sales[[#This Row],[UnitCostAtSale]]</f>
        <v>35100</v>
      </c>
      <c r="P179">
        <f>sales[[#This Row],[SalesAfterDiscount]]-sales[[#This Row],[CostOfGoodsSold]]</f>
        <v>16039.11</v>
      </c>
      <c r="Q179">
        <f>IFERROR(sales[[#This Row],[GrossProfit]]/sales[[#This Row],[SalesAfterDiscount]],0)</f>
        <v>0.31363686227625004</v>
      </c>
    </row>
    <row r="180" spans="1:17">
      <c r="A180" t="s">
        <v>484</v>
      </c>
      <c r="B180" t="s">
        <v>485</v>
      </c>
      <c r="C180" s="1">
        <v>46151</v>
      </c>
      <c r="D180" t="s">
        <v>29</v>
      </c>
      <c r="E180" t="s">
        <v>20</v>
      </c>
      <c r="F180" t="s">
        <v>479</v>
      </c>
      <c r="G180" t="s">
        <v>16</v>
      </c>
      <c r="H180">
        <v>2</v>
      </c>
      <c r="I180">
        <v>13204.06</v>
      </c>
      <c r="J180">
        <v>0</v>
      </c>
      <c r="K180">
        <v>11050</v>
      </c>
      <c r="L180">
        <f>sales[[#This Row],[Quantity]]*sales[[#This Row],[UnitPrice]]</f>
        <v>26408.12</v>
      </c>
      <c r="M180">
        <f>sales[[#This Row],[GrossSales]]*sales[[#This Row],[DiscountRate]]</f>
        <v>0</v>
      </c>
      <c r="N180">
        <f>sales[[#This Row],[GrossSales]]-sales[[#This Row],[DiscountAmount]]</f>
        <v>26408.12</v>
      </c>
      <c r="O180">
        <f>sales[[#This Row],[Quantity]]*sales[[#This Row],[UnitCostAtSale]]</f>
        <v>22100</v>
      </c>
      <c r="P180">
        <f>sales[[#This Row],[SalesAfterDiscount]]-sales[[#This Row],[CostOfGoodsSold]]</f>
        <v>4308.119999999999</v>
      </c>
      <c r="Q180">
        <f>IFERROR(sales[[#This Row],[GrossProfit]]/sales[[#This Row],[SalesAfterDiscount]],0)</f>
        <v>0.1631361869000898</v>
      </c>
    </row>
    <row r="181" spans="1:17">
      <c r="A181" t="s">
        <v>486</v>
      </c>
      <c r="B181" t="s">
        <v>487</v>
      </c>
      <c r="C181" s="1">
        <v>45943</v>
      </c>
      <c r="D181" t="s">
        <v>37</v>
      </c>
      <c r="E181" t="s">
        <v>72</v>
      </c>
      <c r="F181" t="s">
        <v>479</v>
      </c>
      <c r="G181" t="s">
        <v>22</v>
      </c>
      <c r="H181">
        <v>5</v>
      </c>
      <c r="I181">
        <v>17336.23</v>
      </c>
      <c r="J181">
        <v>0.05</v>
      </c>
      <c r="K181">
        <v>14200</v>
      </c>
      <c r="L181">
        <f>sales[[#This Row],[Quantity]]*sales[[#This Row],[UnitPrice]]</f>
        <v>86681.15</v>
      </c>
      <c r="M181">
        <f>sales[[#This Row],[GrossSales]]*sales[[#This Row],[DiscountRate]]</f>
        <v>4334.0574999999999</v>
      </c>
      <c r="N181">
        <f>sales[[#This Row],[GrossSales]]-sales[[#This Row],[DiscountAmount]]</f>
        <v>82347.092499999999</v>
      </c>
      <c r="O181">
        <f>sales[[#This Row],[Quantity]]*sales[[#This Row],[UnitCostAtSale]]</f>
        <v>71000</v>
      </c>
      <c r="P181">
        <f>sales[[#This Row],[SalesAfterDiscount]]-sales[[#This Row],[CostOfGoodsSold]]</f>
        <v>11347.092499999999</v>
      </c>
      <c r="Q181">
        <f>IFERROR(sales[[#This Row],[GrossProfit]]/sales[[#This Row],[SalesAfterDiscount]],0)</f>
        <v>0.13779590943056064</v>
      </c>
    </row>
    <row r="182" spans="1:17">
      <c r="A182" t="s">
        <v>488</v>
      </c>
      <c r="B182" t="s">
        <v>489</v>
      </c>
      <c r="C182" s="1">
        <v>45931</v>
      </c>
      <c r="D182" t="s">
        <v>95</v>
      </c>
      <c r="E182" t="s">
        <v>20</v>
      </c>
      <c r="F182" t="s">
        <v>217</v>
      </c>
      <c r="G182" t="s">
        <v>16</v>
      </c>
      <c r="H182">
        <v>1</v>
      </c>
      <c r="I182">
        <v>12048.66</v>
      </c>
      <c r="J182">
        <v>0.05</v>
      </c>
      <c r="K182">
        <v>9900</v>
      </c>
      <c r="L182">
        <f>sales[[#This Row],[Quantity]]*sales[[#This Row],[UnitPrice]]</f>
        <v>12048.66</v>
      </c>
      <c r="M182">
        <f>sales[[#This Row],[GrossSales]]*sales[[#This Row],[DiscountRate]]</f>
        <v>602.43299999999999</v>
      </c>
      <c r="N182">
        <f>sales[[#This Row],[GrossSales]]-sales[[#This Row],[DiscountAmount]]</f>
        <v>11446.226999999999</v>
      </c>
      <c r="O182">
        <f>sales[[#This Row],[Quantity]]*sales[[#This Row],[UnitCostAtSale]]</f>
        <v>9900</v>
      </c>
      <c r="P182">
        <f>sales[[#This Row],[SalesAfterDiscount]]-sales[[#This Row],[CostOfGoodsSold]]</f>
        <v>1546.226999999999</v>
      </c>
      <c r="Q182">
        <f>IFERROR(sales[[#This Row],[GrossProfit]]/sales[[#This Row],[SalesAfterDiscount]],0)</f>
        <v>0.1350861729371608</v>
      </c>
    </row>
    <row r="183" spans="1:17">
      <c r="A183" t="s">
        <v>490</v>
      </c>
      <c r="B183" t="s">
        <v>491</v>
      </c>
      <c r="C183" s="1">
        <v>46005</v>
      </c>
      <c r="D183" t="s">
        <v>99</v>
      </c>
      <c r="E183" t="s">
        <v>50</v>
      </c>
      <c r="F183" t="s">
        <v>189</v>
      </c>
      <c r="G183" t="s">
        <v>16</v>
      </c>
      <c r="H183">
        <v>3</v>
      </c>
      <c r="I183">
        <v>10644.48</v>
      </c>
      <c r="J183">
        <v>0</v>
      </c>
      <c r="K183">
        <v>7050</v>
      </c>
      <c r="L183">
        <f>sales[[#This Row],[Quantity]]*sales[[#This Row],[UnitPrice]]</f>
        <v>31933.439999999999</v>
      </c>
      <c r="M183">
        <f>sales[[#This Row],[GrossSales]]*sales[[#This Row],[DiscountRate]]</f>
        <v>0</v>
      </c>
      <c r="N183">
        <f>sales[[#This Row],[GrossSales]]-sales[[#This Row],[DiscountAmount]]</f>
        <v>31933.439999999999</v>
      </c>
      <c r="O183">
        <f>sales[[#This Row],[Quantity]]*sales[[#This Row],[UnitCostAtSale]]</f>
        <v>21150</v>
      </c>
      <c r="P183">
        <f>sales[[#This Row],[SalesAfterDiscount]]-sales[[#This Row],[CostOfGoodsSold]]</f>
        <v>10783.439999999999</v>
      </c>
      <c r="Q183">
        <f>IFERROR(sales[[#This Row],[GrossProfit]]/sales[[#This Row],[SalesAfterDiscount]],0)</f>
        <v>0.33768488455988455</v>
      </c>
    </row>
    <row r="184" spans="1:17">
      <c r="A184" t="s">
        <v>492</v>
      </c>
      <c r="B184" t="s">
        <v>493</v>
      </c>
      <c r="C184" s="1">
        <v>45803</v>
      </c>
      <c r="D184" t="s">
        <v>71</v>
      </c>
      <c r="E184" t="s">
        <v>46</v>
      </c>
      <c r="F184" t="s">
        <v>287</v>
      </c>
      <c r="G184" t="s">
        <v>16</v>
      </c>
      <c r="H184">
        <v>1</v>
      </c>
      <c r="I184">
        <v>5799.34</v>
      </c>
      <c r="J184">
        <v>0</v>
      </c>
      <c r="K184">
        <v>3800</v>
      </c>
      <c r="L184">
        <f>sales[[#This Row],[Quantity]]*sales[[#This Row],[UnitPrice]]</f>
        <v>5799.34</v>
      </c>
      <c r="M184">
        <f>sales[[#This Row],[GrossSales]]*sales[[#This Row],[DiscountRate]]</f>
        <v>0</v>
      </c>
      <c r="N184">
        <f>sales[[#This Row],[GrossSales]]-sales[[#This Row],[DiscountAmount]]</f>
        <v>5799.34</v>
      </c>
      <c r="O184">
        <f>sales[[#This Row],[Quantity]]*sales[[#This Row],[UnitCostAtSale]]</f>
        <v>3800</v>
      </c>
      <c r="P184">
        <f>sales[[#This Row],[SalesAfterDiscount]]-sales[[#This Row],[CostOfGoodsSold]]</f>
        <v>1999.3400000000001</v>
      </c>
      <c r="Q184">
        <f>IFERROR(sales[[#This Row],[GrossProfit]]/sales[[#This Row],[SalesAfterDiscount]],0)</f>
        <v>0.34475302361992916</v>
      </c>
    </row>
    <row r="185" spans="1:17">
      <c r="A185" t="s">
        <v>494</v>
      </c>
      <c r="B185" t="s">
        <v>495</v>
      </c>
      <c r="C185" s="1">
        <v>46122</v>
      </c>
      <c r="D185" t="s">
        <v>316</v>
      </c>
      <c r="E185" t="s">
        <v>20</v>
      </c>
      <c r="F185" t="s">
        <v>308</v>
      </c>
      <c r="G185" t="s">
        <v>16</v>
      </c>
      <c r="H185">
        <v>3</v>
      </c>
      <c r="I185">
        <v>9371.8700000000008</v>
      </c>
      <c r="J185">
        <v>0.05</v>
      </c>
      <c r="K185">
        <v>5750</v>
      </c>
      <c r="L185">
        <f>sales[[#This Row],[Quantity]]*sales[[#This Row],[UnitPrice]]</f>
        <v>28115.61</v>
      </c>
      <c r="M185">
        <f>sales[[#This Row],[GrossSales]]*sales[[#This Row],[DiscountRate]]</f>
        <v>1405.7805000000001</v>
      </c>
      <c r="N185">
        <f>sales[[#This Row],[GrossSales]]-sales[[#This Row],[DiscountAmount]]</f>
        <v>26709.8295</v>
      </c>
      <c r="O185">
        <f>sales[[#This Row],[Quantity]]*sales[[#This Row],[UnitCostAtSale]]</f>
        <v>17250</v>
      </c>
      <c r="P185">
        <f>sales[[#This Row],[SalesAfterDiscount]]-sales[[#This Row],[CostOfGoodsSold]]</f>
        <v>9459.8294999999998</v>
      </c>
      <c r="Q185">
        <f>IFERROR(sales[[#This Row],[GrossProfit]]/sales[[#This Row],[SalesAfterDiscount]],0)</f>
        <v>0.35417034391777003</v>
      </c>
    </row>
    <row r="186" spans="1:17">
      <c r="A186" t="s">
        <v>496</v>
      </c>
      <c r="B186" t="s">
        <v>497</v>
      </c>
      <c r="C186" s="1">
        <v>45744</v>
      </c>
      <c r="D186" t="s">
        <v>202</v>
      </c>
      <c r="E186" t="s">
        <v>50</v>
      </c>
      <c r="F186" t="s">
        <v>206</v>
      </c>
      <c r="G186" t="s">
        <v>22</v>
      </c>
      <c r="H186">
        <v>1</v>
      </c>
      <c r="I186">
        <v>3559.5</v>
      </c>
      <c r="J186">
        <v>0.05</v>
      </c>
      <c r="K186">
        <v>2250</v>
      </c>
      <c r="L186">
        <f>sales[[#This Row],[Quantity]]*sales[[#This Row],[UnitPrice]]</f>
        <v>3559.5</v>
      </c>
      <c r="M186">
        <f>sales[[#This Row],[GrossSales]]*sales[[#This Row],[DiscountRate]]</f>
        <v>177.97500000000002</v>
      </c>
      <c r="N186">
        <f>sales[[#This Row],[GrossSales]]-sales[[#This Row],[DiscountAmount]]</f>
        <v>3381.5250000000001</v>
      </c>
      <c r="O186">
        <f>sales[[#This Row],[Quantity]]*sales[[#This Row],[UnitCostAtSale]]</f>
        <v>2250</v>
      </c>
      <c r="P186">
        <f>sales[[#This Row],[SalesAfterDiscount]]-sales[[#This Row],[CostOfGoodsSold]]</f>
        <v>1131.5250000000001</v>
      </c>
      <c r="Q186">
        <f>IFERROR(sales[[#This Row],[GrossProfit]]/sales[[#This Row],[SalesAfterDiscount]],0)</f>
        <v>0.33461973517865462</v>
      </c>
    </row>
    <row r="187" spans="1:17">
      <c r="A187" t="s">
        <v>498</v>
      </c>
      <c r="B187" t="s">
        <v>499</v>
      </c>
      <c r="C187" s="1">
        <v>45741</v>
      </c>
      <c r="D187" t="s">
        <v>49</v>
      </c>
      <c r="E187" t="s">
        <v>72</v>
      </c>
      <c r="F187" t="s">
        <v>500</v>
      </c>
      <c r="G187" t="s">
        <v>16</v>
      </c>
      <c r="H187">
        <v>3</v>
      </c>
      <c r="I187">
        <v>13787.88</v>
      </c>
      <c r="J187">
        <v>0.15</v>
      </c>
      <c r="K187">
        <v>9500</v>
      </c>
      <c r="L187">
        <f>sales[[#This Row],[Quantity]]*sales[[#This Row],[UnitPrice]]</f>
        <v>41363.64</v>
      </c>
      <c r="M187">
        <f>sales[[#This Row],[GrossSales]]*sales[[#This Row],[DiscountRate]]</f>
        <v>6204.5459999999994</v>
      </c>
      <c r="N187">
        <f>sales[[#This Row],[GrossSales]]-sales[[#This Row],[DiscountAmount]]</f>
        <v>35159.093999999997</v>
      </c>
      <c r="O187">
        <f>sales[[#This Row],[Quantity]]*sales[[#This Row],[UnitCostAtSale]]</f>
        <v>28500</v>
      </c>
      <c r="P187">
        <f>sales[[#This Row],[SalesAfterDiscount]]-sales[[#This Row],[CostOfGoodsSold]]</f>
        <v>6659.0939999999973</v>
      </c>
      <c r="Q187">
        <f>IFERROR(sales[[#This Row],[GrossProfit]]/sales[[#This Row],[SalesAfterDiscount]],0)</f>
        <v>0.18939890771929441</v>
      </c>
    </row>
    <row r="188" spans="1:17">
      <c r="A188" t="s">
        <v>501</v>
      </c>
      <c r="B188" t="s">
        <v>502</v>
      </c>
      <c r="C188" s="1">
        <v>45937</v>
      </c>
      <c r="D188" t="s">
        <v>316</v>
      </c>
      <c r="E188" t="s">
        <v>14</v>
      </c>
      <c r="F188" t="s">
        <v>364</v>
      </c>
      <c r="G188" t="s">
        <v>16</v>
      </c>
      <c r="H188">
        <v>2</v>
      </c>
      <c r="I188">
        <v>9371.8700000000008</v>
      </c>
      <c r="J188">
        <v>0.2</v>
      </c>
      <c r="K188">
        <v>5750</v>
      </c>
      <c r="L188">
        <f>sales[[#This Row],[Quantity]]*sales[[#This Row],[UnitPrice]]</f>
        <v>18743.740000000002</v>
      </c>
      <c r="M188">
        <f>sales[[#This Row],[GrossSales]]*sales[[#This Row],[DiscountRate]]</f>
        <v>3748.7480000000005</v>
      </c>
      <c r="N188">
        <f>sales[[#This Row],[GrossSales]]-sales[[#This Row],[DiscountAmount]]</f>
        <v>14994.992000000002</v>
      </c>
      <c r="O188">
        <f>sales[[#This Row],[Quantity]]*sales[[#This Row],[UnitCostAtSale]]</f>
        <v>11500</v>
      </c>
      <c r="P188">
        <f>sales[[#This Row],[SalesAfterDiscount]]-sales[[#This Row],[CostOfGoodsSold]]</f>
        <v>3494.992000000002</v>
      </c>
      <c r="Q188">
        <f>IFERROR(sales[[#This Row],[GrossProfit]]/sales[[#This Row],[SalesAfterDiscount]],0)</f>
        <v>0.23307728340235204</v>
      </c>
    </row>
    <row r="189" spans="1:17">
      <c r="A189" t="s">
        <v>503</v>
      </c>
      <c r="B189" t="s">
        <v>504</v>
      </c>
      <c r="C189" s="1">
        <v>45948</v>
      </c>
      <c r="D189" t="s">
        <v>37</v>
      </c>
      <c r="E189" t="s">
        <v>46</v>
      </c>
      <c r="F189" t="s">
        <v>113</v>
      </c>
      <c r="G189" t="s">
        <v>16</v>
      </c>
      <c r="H189">
        <v>5</v>
      </c>
      <c r="I189">
        <v>17336.23</v>
      </c>
      <c r="J189">
        <v>0.15</v>
      </c>
      <c r="K189">
        <v>14200</v>
      </c>
      <c r="L189">
        <f>sales[[#This Row],[Quantity]]*sales[[#This Row],[UnitPrice]]</f>
        <v>86681.15</v>
      </c>
      <c r="M189">
        <f>sales[[#This Row],[GrossSales]]*sales[[#This Row],[DiscountRate]]</f>
        <v>13002.172499999999</v>
      </c>
      <c r="N189">
        <f>sales[[#This Row],[GrossSales]]-sales[[#This Row],[DiscountAmount]]</f>
        <v>73678.977499999994</v>
      </c>
      <c r="O189">
        <f>sales[[#This Row],[Quantity]]*sales[[#This Row],[UnitCostAtSale]]</f>
        <v>71000</v>
      </c>
      <c r="P189">
        <f>sales[[#This Row],[SalesAfterDiscount]]-sales[[#This Row],[CostOfGoodsSold]]</f>
        <v>2678.9774999999936</v>
      </c>
      <c r="Q189">
        <f>IFERROR(sales[[#This Row],[GrossProfit]]/sales[[#This Row],[SalesAfterDiscount]],0)</f>
        <v>3.6360134069450052E-2</v>
      </c>
    </row>
    <row r="190" spans="1:17">
      <c r="A190" t="s">
        <v>505</v>
      </c>
      <c r="B190" t="s">
        <v>506</v>
      </c>
      <c r="C190" s="1">
        <v>45883</v>
      </c>
      <c r="D190" t="s">
        <v>60</v>
      </c>
      <c r="E190" t="s">
        <v>14</v>
      </c>
      <c r="F190" t="s">
        <v>77</v>
      </c>
      <c r="G190" t="s">
        <v>22</v>
      </c>
      <c r="H190">
        <v>4</v>
      </c>
      <c r="I190">
        <v>9389.4699999999993</v>
      </c>
      <c r="J190">
        <v>0.2</v>
      </c>
      <c r="K190">
        <v>7250</v>
      </c>
      <c r="L190">
        <f>sales[[#This Row],[Quantity]]*sales[[#This Row],[UnitPrice]]</f>
        <v>37557.879999999997</v>
      </c>
      <c r="M190">
        <f>sales[[#This Row],[GrossSales]]*sales[[#This Row],[DiscountRate]]</f>
        <v>7511.576</v>
      </c>
      <c r="N190">
        <f>sales[[#This Row],[GrossSales]]-sales[[#This Row],[DiscountAmount]]</f>
        <v>30046.303999999996</v>
      </c>
      <c r="O190">
        <f>sales[[#This Row],[Quantity]]*sales[[#This Row],[UnitCostAtSale]]</f>
        <v>29000</v>
      </c>
      <c r="P190">
        <f>sales[[#This Row],[SalesAfterDiscount]]-sales[[#This Row],[CostOfGoodsSold]]</f>
        <v>1046.3039999999964</v>
      </c>
      <c r="Q190">
        <f>IFERROR(sales[[#This Row],[GrossProfit]]/sales[[#This Row],[SalesAfterDiscount]],0)</f>
        <v>3.4823051780345317E-2</v>
      </c>
    </row>
    <row r="191" spans="1:17">
      <c r="A191" t="s">
        <v>507</v>
      </c>
      <c r="B191" t="s">
        <v>508</v>
      </c>
      <c r="C191" s="1">
        <v>45874</v>
      </c>
      <c r="D191" t="s">
        <v>155</v>
      </c>
      <c r="E191" t="s">
        <v>20</v>
      </c>
      <c r="F191" t="s">
        <v>172</v>
      </c>
      <c r="G191" t="s">
        <v>22</v>
      </c>
      <c r="H191">
        <v>2</v>
      </c>
      <c r="I191">
        <v>17046.37</v>
      </c>
      <c r="J191">
        <v>0.1</v>
      </c>
      <c r="K191">
        <v>11700</v>
      </c>
      <c r="L191">
        <f>sales[[#This Row],[Quantity]]*sales[[#This Row],[UnitPrice]]</f>
        <v>34092.74</v>
      </c>
      <c r="M191">
        <f>sales[[#This Row],[GrossSales]]*sales[[#This Row],[DiscountRate]]</f>
        <v>3409.2739999999999</v>
      </c>
      <c r="N191">
        <f>sales[[#This Row],[GrossSales]]-sales[[#This Row],[DiscountAmount]]</f>
        <v>30683.465999999997</v>
      </c>
      <c r="O191">
        <f>sales[[#This Row],[Quantity]]*sales[[#This Row],[UnitCostAtSale]]</f>
        <v>23400</v>
      </c>
      <c r="P191">
        <f>sales[[#This Row],[SalesAfterDiscount]]-sales[[#This Row],[CostOfGoodsSold]]</f>
        <v>7283.4659999999967</v>
      </c>
      <c r="Q191">
        <f>IFERROR(sales[[#This Row],[GrossProfit]]/sales[[#This Row],[SalesAfterDiscount]],0)</f>
        <v>0.23737429141805549</v>
      </c>
    </row>
    <row r="192" spans="1:17">
      <c r="A192" t="s">
        <v>509</v>
      </c>
      <c r="B192" t="s">
        <v>510</v>
      </c>
      <c r="C192" s="1">
        <v>46167</v>
      </c>
      <c r="D192" t="s">
        <v>161</v>
      </c>
      <c r="E192" t="s">
        <v>50</v>
      </c>
      <c r="F192" t="s">
        <v>234</v>
      </c>
      <c r="G192" t="s">
        <v>22</v>
      </c>
      <c r="H192">
        <v>4</v>
      </c>
      <c r="I192">
        <v>3694.44</v>
      </c>
      <c r="J192">
        <v>0.05</v>
      </c>
      <c r="K192">
        <v>3100</v>
      </c>
      <c r="L192">
        <f>sales[[#This Row],[Quantity]]*sales[[#This Row],[UnitPrice]]</f>
        <v>14777.76</v>
      </c>
      <c r="M192">
        <f>sales[[#This Row],[GrossSales]]*sales[[#This Row],[DiscountRate]]</f>
        <v>738.88800000000003</v>
      </c>
      <c r="N192">
        <f>sales[[#This Row],[GrossSales]]-sales[[#This Row],[DiscountAmount]]</f>
        <v>14038.871999999999</v>
      </c>
      <c r="O192">
        <f>sales[[#This Row],[Quantity]]*sales[[#This Row],[UnitCostAtSale]]</f>
        <v>12400</v>
      </c>
      <c r="P192">
        <f>sales[[#This Row],[SalesAfterDiscount]]-sales[[#This Row],[CostOfGoodsSold]]</f>
        <v>1638.8719999999994</v>
      </c>
      <c r="Q192">
        <f>IFERROR(sales[[#This Row],[GrossProfit]]/sales[[#This Row],[SalesAfterDiscount]],0)</f>
        <v>0.11673815389156618</v>
      </c>
    </row>
    <row r="193" spans="1:17">
      <c r="A193" t="s">
        <v>511</v>
      </c>
      <c r="B193" t="s">
        <v>512</v>
      </c>
      <c r="C193" s="1">
        <v>46020</v>
      </c>
      <c r="D193" t="s">
        <v>122</v>
      </c>
      <c r="E193" t="s">
        <v>14</v>
      </c>
      <c r="F193" t="s">
        <v>137</v>
      </c>
      <c r="G193" t="s">
        <v>22</v>
      </c>
      <c r="H193">
        <v>1</v>
      </c>
      <c r="I193">
        <v>13246.95</v>
      </c>
      <c r="J193">
        <v>0.15</v>
      </c>
      <c r="K193">
        <v>9050</v>
      </c>
      <c r="L193">
        <f>sales[[#This Row],[Quantity]]*sales[[#This Row],[UnitPrice]]</f>
        <v>13246.95</v>
      </c>
      <c r="M193">
        <f>sales[[#This Row],[GrossSales]]*sales[[#This Row],[DiscountRate]]</f>
        <v>1987.0425</v>
      </c>
      <c r="N193">
        <f>sales[[#This Row],[GrossSales]]-sales[[#This Row],[DiscountAmount]]</f>
        <v>11259.907500000001</v>
      </c>
      <c r="O193">
        <f>sales[[#This Row],[Quantity]]*sales[[#This Row],[UnitCostAtSale]]</f>
        <v>9050</v>
      </c>
      <c r="P193">
        <f>sales[[#This Row],[SalesAfterDiscount]]-sales[[#This Row],[CostOfGoodsSold]]</f>
        <v>2209.9075000000012</v>
      </c>
      <c r="Q193">
        <f>IFERROR(sales[[#This Row],[GrossProfit]]/sales[[#This Row],[SalesAfterDiscount]],0)</f>
        <v>0.19626337960591603</v>
      </c>
    </row>
    <row r="194" spans="1:17">
      <c r="A194" t="s">
        <v>513</v>
      </c>
      <c r="B194" t="s">
        <v>514</v>
      </c>
      <c r="C194" s="1">
        <v>45737</v>
      </c>
      <c r="D194" t="s">
        <v>112</v>
      </c>
      <c r="E194" t="s">
        <v>72</v>
      </c>
      <c r="F194" t="s">
        <v>301</v>
      </c>
      <c r="G194" t="s">
        <v>16</v>
      </c>
      <c r="H194">
        <v>3</v>
      </c>
      <c r="I194">
        <v>10868.14</v>
      </c>
      <c r="J194">
        <v>0.2</v>
      </c>
      <c r="K194">
        <v>8850</v>
      </c>
      <c r="L194">
        <f>sales[[#This Row],[Quantity]]*sales[[#This Row],[UnitPrice]]</f>
        <v>32604.42</v>
      </c>
      <c r="M194">
        <f>sales[[#This Row],[GrossSales]]*sales[[#This Row],[DiscountRate]]</f>
        <v>6520.884</v>
      </c>
      <c r="N194">
        <f>sales[[#This Row],[GrossSales]]-sales[[#This Row],[DiscountAmount]]</f>
        <v>26083.536</v>
      </c>
      <c r="O194">
        <f>sales[[#This Row],[Quantity]]*sales[[#This Row],[UnitCostAtSale]]</f>
        <v>26550</v>
      </c>
      <c r="P194">
        <f>sales[[#This Row],[SalesAfterDiscount]]-sales[[#This Row],[CostOfGoodsSold]]</f>
        <v>-466.46399999999994</v>
      </c>
      <c r="Q194">
        <f>IFERROR(sales[[#This Row],[GrossProfit]]/sales[[#This Row],[SalesAfterDiscount]],0)</f>
        <v>-1.7883464879915052E-2</v>
      </c>
    </row>
    <row r="195" spans="1:17">
      <c r="A195" t="s">
        <v>515</v>
      </c>
      <c r="B195" t="s">
        <v>516</v>
      </c>
      <c r="C195" s="1">
        <v>46085</v>
      </c>
      <c r="D195" t="s">
        <v>175</v>
      </c>
      <c r="E195" t="s">
        <v>72</v>
      </c>
      <c r="F195" t="s">
        <v>38</v>
      </c>
      <c r="G195" t="s">
        <v>16</v>
      </c>
      <c r="H195">
        <v>3</v>
      </c>
      <c r="I195">
        <v>2403.0700000000002</v>
      </c>
      <c r="J195">
        <v>0</v>
      </c>
      <c r="K195">
        <v>2000</v>
      </c>
      <c r="L195">
        <f>sales[[#This Row],[Quantity]]*sales[[#This Row],[UnitPrice]]</f>
        <v>7209.2100000000009</v>
      </c>
      <c r="M195">
        <f>sales[[#This Row],[GrossSales]]*sales[[#This Row],[DiscountRate]]</f>
        <v>0</v>
      </c>
      <c r="N195">
        <f>sales[[#This Row],[GrossSales]]-sales[[#This Row],[DiscountAmount]]</f>
        <v>7209.2100000000009</v>
      </c>
      <c r="O195">
        <f>sales[[#This Row],[Quantity]]*sales[[#This Row],[UnitCostAtSale]]</f>
        <v>6000</v>
      </c>
      <c r="P195">
        <f>sales[[#This Row],[SalesAfterDiscount]]-sales[[#This Row],[CostOfGoodsSold]]</f>
        <v>1209.2100000000009</v>
      </c>
      <c r="Q195">
        <f>IFERROR(sales[[#This Row],[GrossProfit]]/sales[[#This Row],[SalesAfterDiscount]],0)</f>
        <v>0.167731277074742</v>
      </c>
    </row>
    <row r="196" spans="1:17">
      <c r="A196" t="s">
        <v>517</v>
      </c>
      <c r="B196" t="s">
        <v>518</v>
      </c>
      <c r="C196" s="1">
        <v>46129</v>
      </c>
      <c r="D196" t="s">
        <v>313</v>
      </c>
      <c r="E196" t="s">
        <v>72</v>
      </c>
      <c r="F196" t="s">
        <v>116</v>
      </c>
      <c r="G196" t="s">
        <v>22</v>
      </c>
      <c r="H196">
        <v>3</v>
      </c>
      <c r="I196">
        <v>3335.18</v>
      </c>
      <c r="J196">
        <v>0</v>
      </c>
      <c r="K196">
        <v>2600</v>
      </c>
      <c r="L196">
        <f>sales[[#This Row],[Quantity]]*sales[[#This Row],[UnitPrice]]</f>
        <v>10005.539999999999</v>
      </c>
      <c r="M196">
        <f>sales[[#This Row],[GrossSales]]*sales[[#This Row],[DiscountRate]]</f>
        <v>0</v>
      </c>
      <c r="N196">
        <f>sales[[#This Row],[GrossSales]]-sales[[#This Row],[DiscountAmount]]</f>
        <v>10005.539999999999</v>
      </c>
      <c r="O196">
        <f>sales[[#This Row],[Quantity]]*sales[[#This Row],[UnitCostAtSale]]</f>
        <v>7800</v>
      </c>
      <c r="P196">
        <f>sales[[#This Row],[SalesAfterDiscount]]-sales[[#This Row],[CostOfGoodsSold]]</f>
        <v>2205.5399999999991</v>
      </c>
      <c r="Q196">
        <f>IFERROR(sales[[#This Row],[GrossProfit]]/sales[[#This Row],[SalesAfterDiscount]],0)</f>
        <v>0.22043188073807105</v>
      </c>
    </row>
    <row r="197" spans="1:17">
      <c r="A197" t="s">
        <v>519</v>
      </c>
      <c r="B197" t="s">
        <v>520</v>
      </c>
      <c r="C197" s="1">
        <v>46068</v>
      </c>
      <c r="D197" t="s">
        <v>316</v>
      </c>
      <c r="E197" t="s">
        <v>72</v>
      </c>
      <c r="F197" t="s">
        <v>308</v>
      </c>
      <c r="G197" t="s">
        <v>16</v>
      </c>
      <c r="H197">
        <v>5</v>
      </c>
      <c r="I197">
        <v>9371.8700000000008</v>
      </c>
      <c r="J197">
        <v>0</v>
      </c>
      <c r="K197">
        <v>5750</v>
      </c>
      <c r="L197">
        <f>sales[[#This Row],[Quantity]]*sales[[#This Row],[UnitPrice]]</f>
        <v>46859.350000000006</v>
      </c>
      <c r="M197">
        <f>sales[[#This Row],[GrossSales]]*sales[[#This Row],[DiscountRate]]</f>
        <v>0</v>
      </c>
      <c r="N197">
        <f>sales[[#This Row],[GrossSales]]-sales[[#This Row],[DiscountAmount]]</f>
        <v>46859.350000000006</v>
      </c>
      <c r="O197">
        <f>sales[[#This Row],[Quantity]]*sales[[#This Row],[UnitCostAtSale]]</f>
        <v>28750</v>
      </c>
      <c r="P197">
        <f>sales[[#This Row],[SalesAfterDiscount]]-sales[[#This Row],[CostOfGoodsSold]]</f>
        <v>18109.350000000006</v>
      </c>
      <c r="Q197">
        <f>IFERROR(sales[[#This Row],[GrossProfit]]/sales[[#This Row],[SalesAfterDiscount]],0)</f>
        <v>0.38646182672188162</v>
      </c>
    </row>
    <row r="198" spans="1:17">
      <c r="A198" t="s">
        <v>521</v>
      </c>
      <c r="B198" t="s">
        <v>522</v>
      </c>
      <c r="C198" s="1">
        <v>45999</v>
      </c>
      <c r="D198" t="s">
        <v>25</v>
      </c>
      <c r="E198" t="s">
        <v>46</v>
      </c>
      <c r="F198" t="s">
        <v>123</v>
      </c>
      <c r="G198" t="s">
        <v>22</v>
      </c>
      <c r="H198">
        <v>2</v>
      </c>
      <c r="I198">
        <v>18592.419999999998</v>
      </c>
      <c r="J198">
        <v>0</v>
      </c>
      <c r="K198">
        <v>14600</v>
      </c>
      <c r="L198">
        <f>sales[[#This Row],[Quantity]]*sales[[#This Row],[UnitPrice]]</f>
        <v>37184.839999999997</v>
      </c>
      <c r="M198">
        <f>sales[[#This Row],[GrossSales]]*sales[[#This Row],[DiscountRate]]</f>
        <v>0</v>
      </c>
      <c r="N198">
        <f>sales[[#This Row],[GrossSales]]-sales[[#This Row],[DiscountAmount]]</f>
        <v>37184.839999999997</v>
      </c>
      <c r="O198">
        <f>sales[[#This Row],[Quantity]]*sales[[#This Row],[UnitCostAtSale]]</f>
        <v>29200</v>
      </c>
      <c r="P198">
        <f>sales[[#This Row],[SalesAfterDiscount]]-sales[[#This Row],[CostOfGoodsSold]]</f>
        <v>7984.8399999999965</v>
      </c>
      <c r="Q198">
        <f>IFERROR(sales[[#This Row],[GrossProfit]]/sales[[#This Row],[SalesAfterDiscount]],0)</f>
        <v>0.21473374633318301</v>
      </c>
    </row>
    <row r="199" spans="1:17">
      <c r="A199" t="s">
        <v>523</v>
      </c>
      <c r="B199" t="s">
        <v>524</v>
      </c>
      <c r="C199" s="1">
        <v>46180</v>
      </c>
      <c r="D199" t="s">
        <v>122</v>
      </c>
      <c r="E199" t="s">
        <v>20</v>
      </c>
      <c r="F199" t="s">
        <v>471</v>
      </c>
      <c r="G199" t="s">
        <v>22</v>
      </c>
      <c r="H199">
        <v>2</v>
      </c>
      <c r="I199">
        <v>13246.95</v>
      </c>
      <c r="J199">
        <v>0.1</v>
      </c>
      <c r="K199">
        <v>9050</v>
      </c>
      <c r="L199">
        <f>sales[[#This Row],[Quantity]]*sales[[#This Row],[UnitPrice]]</f>
        <v>26493.9</v>
      </c>
      <c r="M199">
        <f>sales[[#This Row],[GrossSales]]*sales[[#This Row],[DiscountRate]]</f>
        <v>2649.3900000000003</v>
      </c>
      <c r="N199">
        <f>sales[[#This Row],[GrossSales]]-sales[[#This Row],[DiscountAmount]]</f>
        <v>23844.510000000002</v>
      </c>
      <c r="O199">
        <f>sales[[#This Row],[Quantity]]*sales[[#This Row],[UnitCostAtSale]]</f>
        <v>18100</v>
      </c>
      <c r="P199">
        <f>sales[[#This Row],[SalesAfterDiscount]]-sales[[#This Row],[CostOfGoodsSold]]</f>
        <v>5744.510000000002</v>
      </c>
      <c r="Q199">
        <f>IFERROR(sales[[#This Row],[GrossProfit]]/sales[[#This Row],[SalesAfterDiscount]],0)</f>
        <v>0.240915414072254</v>
      </c>
    </row>
    <row r="200" spans="1:17">
      <c r="A200" t="s">
        <v>525</v>
      </c>
      <c r="B200" t="s">
        <v>526</v>
      </c>
      <c r="C200" s="1">
        <v>45763</v>
      </c>
      <c r="D200" t="s">
        <v>25</v>
      </c>
      <c r="E200" t="s">
        <v>50</v>
      </c>
      <c r="F200" t="s">
        <v>196</v>
      </c>
      <c r="G200" t="s">
        <v>22</v>
      </c>
      <c r="H200">
        <v>2</v>
      </c>
      <c r="I200">
        <v>18592.419999999998</v>
      </c>
      <c r="J200">
        <v>0.1</v>
      </c>
      <c r="K200">
        <v>14600</v>
      </c>
      <c r="L200">
        <f>sales[[#This Row],[Quantity]]*sales[[#This Row],[UnitPrice]]</f>
        <v>37184.839999999997</v>
      </c>
      <c r="M200">
        <f>sales[[#This Row],[GrossSales]]*sales[[#This Row],[DiscountRate]]</f>
        <v>3718.4839999999999</v>
      </c>
      <c r="N200">
        <f>sales[[#This Row],[GrossSales]]-sales[[#This Row],[DiscountAmount]]</f>
        <v>33466.356</v>
      </c>
      <c r="O200">
        <f>sales[[#This Row],[Quantity]]*sales[[#This Row],[UnitCostAtSale]]</f>
        <v>29200</v>
      </c>
      <c r="P200">
        <f>sales[[#This Row],[SalesAfterDiscount]]-sales[[#This Row],[CostOfGoodsSold]]</f>
        <v>4266.3559999999998</v>
      </c>
      <c r="Q200">
        <f>IFERROR(sales[[#This Row],[GrossProfit]]/sales[[#This Row],[SalesAfterDiscount]],0)</f>
        <v>0.12748194037020344</v>
      </c>
    </row>
    <row r="201" spans="1:17">
      <c r="A201" t="s">
        <v>527</v>
      </c>
      <c r="B201" t="s">
        <v>528</v>
      </c>
      <c r="C201" s="1">
        <v>45735</v>
      </c>
      <c r="D201" t="s">
        <v>202</v>
      </c>
      <c r="E201" t="s">
        <v>72</v>
      </c>
      <c r="F201" t="s">
        <v>206</v>
      </c>
      <c r="G201" t="s">
        <v>16</v>
      </c>
      <c r="H201">
        <v>2</v>
      </c>
      <c r="I201">
        <v>3559.5</v>
      </c>
      <c r="J201">
        <v>0.15</v>
      </c>
      <c r="K201">
        <v>2250</v>
      </c>
      <c r="L201">
        <f>sales[[#This Row],[Quantity]]*sales[[#This Row],[UnitPrice]]</f>
        <v>7119</v>
      </c>
      <c r="M201">
        <f>sales[[#This Row],[GrossSales]]*sales[[#This Row],[DiscountRate]]</f>
        <v>1067.8499999999999</v>
      </c>
      <c r="N201">
        <f>sales[[#This Row],[GrossSales]]-sales[[#This Row],[DiscountAmount]]</f>
        <v>6051.15</v>
      </c>
      <c r="O201">
        <f>sales[[#This Row],[Quantity]]*sales[[#This Row],[UnitCostAtSale]]</f>
        <v>4500</v>
      </c>
      <c r="P201">
        <f>sales[[#This Row],[SalesAfterDiscount]]-sales[[#This Row],[CostOfGoodsSold]]</f>
        <v>1551.1499999999996</v>
      </c>
      <c r="Q201">
        <f>IFERROR(sales[[#This Row],[GrossProfit]]/sales[[#This Row],[SalesAfterDiscount]],0)</f>
        <v>0.25633970402320216</v>
      </c>
    </row>
    <row r="202" spans="1:17">
      <c r="A202" t="s">
        <v>529</v>
      </c>
      <c r="B202" t="s">
        <v>530</v>
      </c>
      <c r="C202" s="1">
        <v>45988</v>
      </c>
      <c r="D202" t="s">
        <v>49</v>
      </c>
      <c r="E202" t="s">
        <v>72</v>
      </c>
      <c r="F202" t="s">
        <v>379</v>
      </c>
      <c r="G202" t="s">
        <v>16</v>
      </c>
      <c r="H202">
        <v>3</v>
      </c>
      <c r="I202">
        <v>13787.88</v>
      </c>
      <c r="J202">
        <v>0.05</v>
      </c>
      <c r="K202">
        <v>9500</v>
      </c>
      <c r="L202">
        <f>sales[[#This Row],[Quantity]]*sales[[#This Row],[UnitPrice]]</f>
        <v>41363.64</v>
      </c>
      <c r="M202">
        <f>sales[[#This Row],[GrossSales]]*sales[[#This Row],[DiscountRate]]</f>
        <v>2068.1820000000002</v>
      </c>
      <c r="N202">
        <f>sales[[#This Row],[GrossSales]]-sales[[#This Row],[DiscountAmount]]</f>
        <v>39295.457999999999</v>
      </c>
      <c r="O202">
        <f>sales[[#This Row],[Quantity]]*sales[[#This Row],[UnitCostAtSale]]</f>
        <v>28500</v>
      </c>
      <c r="P202">
        <f>sales[[#This Row],[SalesAfterDiscount]]-sales[[#This Row],[CostOfGoodsSold]]</f>
        <v>10795.457999999999</v>
      </c>
      <c r="Q202">
        <f>IFERROR(sales[[#This Row],[GrossProfit]]/sales[[#This Row],[SalesAfterDiscount]],0)</f>
        <v>0.27472533848568448</v>
      </c>
    </row>
    <row r="203" spans="1:17">
      <c r="A203" t="s">
        <v>531</v>
      </c>
      <c r="B203" t="s">
        <v>532</v>
      </c>
      <c r="C203" s="1">
        <v>45968</v>
      </c>
      <c r="D203" t="s">
        <v>112</v>
      </c>
      <c r="E203" t="s">
        <v>14</v>
      </c>
      <c r="F203" t="s">
        <v>281</v>
      </c>
      <c r="G203" t="s">
        <v>22</v>
      </c>
      <c r="H203">
        <v>3</v>
      </c>
      <c r="I203">
        <v>10868.14</v>
      </c>
      <c r="J203">
        <v>0.2</v>
      </c>
      <c r="K203">
        <v>8850</v>
      </c>
      <c r="L203">
        <f>sales[[#This Row],[Quantity]]*sales[[#This Row],[UnitPrice]]</f>
        <v>32604.42</v>
      </c>
      <c r="M203">
        <f>sales[[#This Row],[GrossSales]]*sales[[#This Row],[DiscountRate]]</f>
        <v>6520.884</v>
      </c>
      <c r="N203">
        <f>sales[[#This Row],[GrossSales]]-sales[[#This Row],[DiscountAmount]]</f>
        <v>26083.536</v>
      </c>
      <c r="O203">
        <f>sales[[#This Row],[Quantity]]*sales[[#This Row],[UnitCostAtSale]]</f>
        <v>26550</v>
      </c>
      <c r="P203">
        <f>sales[[#This Row],[SalesAfterDiscount]]-sales[[#This Row],[CostOfGoodsSold]]</f>
        <v>-466.46399999999994</v>
      </c>
      <c r="Q203">
        <f>IFERROR(sales[[#This Row],[GrossProfit]]/sales[[#This Row],[SalesAfterDiscount]],0)</f>
        <v>-1.7883464879915052E-2</v>
      </c>
    </row>
    <row r="204" spans="1:17">
      <c r="A204" t="s">
        <v>533</v>
      </c>
      <c r="B204" t="s">
        <v>534</v>
      </c>
      <c r="C204" s="1">
        <v>46130</v>
      </c>
      <c r="D204" t="s">
        <v>155</v>
      </c>
      <c r="E204" t="s">
        <v>14</v>
      </c>
      <c r="F204" t="s">
        <v>535</v>
      </c>
      <c r="G204" t="s">
        <v>16</v>
      </c>
      <c r="H204">
        <v>4</v>
      </c>
      <c r="I204">
        <v>17046.37</v>
      </c>
      <c r="J204">
        <v>0</v>
      </c>
      <c r="K204">
        <v>11700</v>
      </c>
      <c r="L204">
        <f>sales[[#This Row],[Quantity]]*sales[[#This Row],[UnitPrice]]</f>
        <v>68185.48</v>
      </c>
      <c r="M204">
        <f>sales[[#This Row],[GrossSales]]*sales[[#This Row],[DiscountRate]]</f>
        <v>0</v>
      </c>
      <c r="N204">
        <f>sales[[#This Row],[GrossSales]]-sales[[#This Row],[DiscountAmount]]</f>
        <v>68185.48</v>
      </c>
      <c r="O204">
        <f>sales[[#This Row],[Quantity]]*sales[[#This Row],[UnitCostAtSale]]</f>
        <v>46800</v>
      </c>
      <c r="P204">
        <f>sales[[#This Row],[SalesAfterDiscount]]-sales[[#This Row],[CostOfGoodsSold]]</f>
        <v>21385.479999999996</v>
      </c>
      <c r="Q204">
        <f>IFERROR(sales[[#This Row],[GrossProfit]]/sales[[#This Row],[SalesAfterDiscount]],0)</f>
        <v>0.31363686227624998</v>
      </c>
    </row>
    <row r="205" spans="1:17">
      <c r="A205" t="s">
        <v>536</v>
      </c>
      <c r="B205" t="s">
        <v>537</v>
      </c>
      <c r="C205" s="1">
        <v>45750</v>
      </c>
      <c r="D205" t="s">
        <v>71</v>
      </c>
      <c r="E205" t="s">
        <v>46</v>
      </c>
      <c r="F205" t="s">
        <v>226</v>
      </c>
      <c r="G205" t="s">
        <v>16</v>
      </c>
      <c r="H205">
        <v>5</v>
      </c>
      <c r="I205">
        <v>5799.34</v>
      </c>
      <c r="J205">
        <v>0.2</v>
      </c>
      <c r="K205">
        <v>3800</v>
      </c>
      <c r="L205">
        <f>sales[[#This Row],[Quantity]]*sales[[#This Row],[UnitPrice]]</f>
        <v>28996.7</v>
      </c>
      <c r="M205">
        <f>sales[[#This Row],[GrossSales]]*sales[[#This Row],[DiscountRate]]</f>
        <v>5799.34</v>
      </c>
      <c r="N205">
        <f>sales[[#This Row],[GrossSales]]-sales[[#This Row],[DiscountAmount]]</f>
        <v>23197.360000000001</v>
      </c>
      <c r="O205">
        <f>sales[[#This Row],[Quantity]]*sales[[#This Row],[UnitCostAtSale]]</f>
        <v>19000</v>
      </c>
      <c r="P205">
        <f>sales[[#This Row],[SalesAfterDiscount]]-sales[[#This Row],[CostOfGoodsSold]]</f>
        <v>4197.3600000000006</v>
      </c>
      <c r="Q205">
        <f>IFERROR(sales[[#This Row],[GrossProfit]]/sales[[#This Row],[SalesAfterDiscount]],0)</f>
        <v>0.18094127952491149</v>
      </c>
    </row>
    <row r="206" spans="1:17">
      <c r="A206" t="s">
        <v>538</v>
      </c>
      <c r="B206" t="s">
        <v>539</v>
      </c>
      <c r="C206" s="1">
        <v>45700</v>
      </c>
      <c r="D206" t="s">
        <v>41</v>
      </c>
      <c r="E206" t="s">
        <v>50</v>
      </c>
      <c r="F206" t="s">
        <v>172</v>
      </c>
      <c r="G206" t="s">
        <v>16</v>
      </c>
      <c r="H206">
        <v>4</v>
      </c>
      <c r="I206">
        <v>17279.419999999998</v>
      </c>
      <c r="J206">
        <v>0.2</v>
      </c>
      <c r="K206">
        <v>13950</v>
      </c>
      <c r="L206">
        <f>sales[[#This Row],[Quantity]]*sales[[#This Row],[UnitPrice]]</f>
        <v>69117.679999999993</v>
      </c>
      <c r="M206">
        <f>sales[[#This Row],[GrossSales]]*sales[[#This Row],[DiscountRate]]</f>
        <v>13823.536</v>
      </c>
      <c r="N206">
        <f>sales[[#This Row],[GrossSales]]-sales[[#This Row],[DiscountAmount]]</f>
        <v>55294.143999999993</v>
      </c>
      <c r="O206">
        <f>sales[[#This Row],[Quantity]]*sales[[#This Row],[UnitCostAtSale]]</f>
        <v>55800</v>
      </c>
      <c r="P206">
        <f>sales[[#This Row],[SalesAfterDiscount]]-sales[[#This Row],[CostOfGoodsSold]]</f>
        <v>-505.85600000000704</v>
      </c>
      <c r="Q206">
        <f>IFERROR(sales[[#This Row],[GrossProfit]]/sales[[#This Row],[SalesAfterDiscount]],0)</f>
        <v>-9.1484552143533873E-3</v>
      </c>
    </row>
    <row r="207" spans="1:17">
      <c r="A207" t="s">
        <v>540</v>
      </c>
      <c r="B207" t="s">
        <v>541</v>
      </c>
      <c r="C207" s="1">
        <v>45812</v>
      </c>
      <c r="D207" t="s">
        <v>122</v>
      </c>
      <c r="E207" t="s">
        <v>14</v>
      </c>
      <c r="F207" t="s">
        <v>542</v>
      </c>
      <c r="G207" t="s">
        <v>22</v>
      </c>
      <c r="H207">
        <v>1</v>
      </c>
      <c r="I207">
        <v>13246.95</v>
      </c>
      <c r="J207">
        <v>0.15</v>
      </c>
      <c r="K207">
        <v>9050</v>
      </c>
      <c r="L207">
        <f>sales[[#This Row],[Quantity]]*sales[[#This Row],[UnitPrice]]</f>
        <v>13246.95</v>
      </c>
      <c r="M207">
        <f>sales[[#This Row],[GrossSales]]*sales[[#This Row],[DiscountRate]]</f>
        <v>1987.0425</v>
      </c>
      <c r="N207">
        <f>sales[[#This Row],[GrossSales]]-sales[[#This Row],[DiscountAmount]]</f>
        <v>11259.907500000001</v>
      </c>
      <c r="O207">
        <f>sales[[#This Row],[Quantity]]*sales[[#This Row],[UnitCostAtSale]]</f>
        <v>9050</v>
      </c>
      <c r="P207">
        <f>sales[[#This Row],[SalesAfterDiscount]]-sales[[#This Row],[CostOfGoodsSold]]</f>
        <v>2209.9075000000012</v>
      </c>
      <c r="Q207">
        <f>IFERROR(sales[[#This Row],[GrossProfit]]/sales[[#This Row],[SalesAfterDiscount]],0)</f>
        <v>0.19626337960591603</v>
      </c>
    </row>
    <row r="208" spans="1:17">
      <c r="A208" t="s">
        <v>543</v>
      </c>
      <c r="B208" t="s">
        <v>544</v>
      </c>
      <c r="C208" s="1">
        <v>45834</v>
      </c>
      <c r="D208" t="s">
        <v>122</v>
      </c>
      <c r="E208" t="s">
        <v>72</v>
      </c>
      <c r="F208" t="s">
        <v>34</v>
      </c>
      <c r="G208" t="s">
        <v>22</v>
      </c>
      <c r="H208">
        <v>1</v>
      </c>
      <c r="I208">
        <v>13246.95</v>
      </c>
      <c r="J208">
        <v>0.05</v>
      </c>
      <c r="K208">
        <v>9050</v>
      </c>
      <c r="L208">
        <f>sales[[#This Row],[Quantity]]*sales[[#This Row],[UnitPrice]]</f>
        <v>13246.95</v>
      </c>
      <c r="M208">
        <f>sales[[#This Row],[GrossSales]]*sales[[#This Row],[DiscountRate]]</f>
        <v>662.34750000000008</v>
      </c>
      <c r="N208">
        <f>sales[[#This Row],[GrossSales]]-sales[[#This Row],[DiscountAmount]]</f>
        <v>12584.602500000001</v>
      </c>
      <c r="O208">
        <f>sales[[#This Row],[Quantity]]*sales[[#This Row],[UnitCostAtSale]]</f>
        <v>9050</v>
      </c>
      <c r="P208">
        <f>sales[[#This Row],[SalesAfterDiscount]]-sales[[#This Row],[CostOfGoodsSold]]</f>
        <v>3534.6025000000009</v>
      </c>
      <c r="Q208">
        <f>IFERROR(sales[[#This Row],[GrossProfit]]/sales[[#This Row],[SalesAfterDiscount]],0)</f>
        <v>0.28086723438424066</v>
      </c>
    </row>
    <row r="209" spans="1:17">
      <c r="A209" t="s">
        <v>545</v>
      </c>
      <c r="B209" t="s">
        <v>546</v>
      </c>
      <c r="C209" s="1">
        <v>46039</v>
      </c>
      <c r="D209" t="s">
        <v>13</v>
      </c>
      <c r="E209" t="s">
        <v>72</v>
      </c>
      <c r="F209" t="s">
        <v>403</v>
      </c>
      <c r="G209" t="s">
        <v>16</v>
      </c>
      <c r="H209">
        <v>3</v>
      </c>
      <c r="I209">
        <v>6484.94</v>
      </c>
      <c r="J209">
        <v>0.15</v>
      </c>
      <c r="K209">
        <v>4300</v>
      </c>
      <c r="L209">
        <f>sales[[#This Row],[Quantity]]*sales[[#This Row],[UnitPrice]]</f>
        <v>19454.82</v>
      </c>
      <c r="M209">
        <f>sales[[#This Row],[GrossSales]]*sales[[#This Row],[DiscountRate]]</f>
        <v>2918.223</v>
      </c>
      <c r="N209">
        <f>sales[[#This Row],[GrossSales]]-sales[[#This Row],[DiscountAmount]]</f>
        <v>16536.597000000002</v>
      </c>
      <c r="O209">
        <f>sales[[#This Row],[Quantity]]*sales[[#This Row],[UnitCostAtSale]]</f>
        <v>12900</v>
      </c>
      <c r="P209">
        <f>sales[[#This Row],[SalesAfterDiscount]]-sales[[#This Row],[CostOfGoodsSold]]</f>
        <v>3636.5970000000016</v>
      </c>
      <c r="Q209">
        <f>IFERROR(sales[[#This Row],[GrossProfit]]/sales[[#This Row],[SalesAfterDiscount]],0)</f>
        <v>0.21991205324771482</v>
      </c>
    </row>
    <row r="210" spans="1:17">
      <c r="A210" t="s">
        <v>547</v>
      </c>
      <c r="B210" t="s">
        <v>548</v>
      </c>
      <c r="C210" s="1">
        <v>45711</v>
      </c>
      <c r="D210" t="s">
        <v>49</v>
      </c>
      <c r="E210" t="s">
        <v>20</v>
      </c>
      <c r="F210" t="s">
        <v>54</v>
      </c>
      <c r="G210" t="s">
        <v>16</v>
      </c>
      <c r="H210">
        <v>3</v>
      </c>
      <c r="I210">
        <v>13787.88</v>
      </c>
      <c r="J210">
        <v>0</v>
      </c>
      <c r="K210">
        <v>9500</v>
      </c>
      <c r="L210">
        <f>sales[[#This Row],[Quantity]]*sales[[#This Row],[UnitPrice]]</f>
        <v>41363.64</v>
      </c>
      <c r="M210">
        <f>sales[[#This Row],[GrossSales]]*sales[[#This Row],[DiscountRate]]</f>
        <v>0</v>
      </c>
      <c r="N210">
        <f>sales[[#This Row],[GrossSales]]-sales[[#This Row],[DiscountAmount]]</f>
        <v>41363.64</v>
      </c>
      <c r="O210">
        <f>sales[[#This Row],[Quantity]]*sales[[#This Row],[UnitCostAtSale]]</f>
        <v>28500</v>
      </c>
      <c r="P210">
        <f>sales[[#This Row],[SalesAfterDiscount]]-sales[[#This Row],[CostOfGoodsSold]]</f>
        <v>12863.64</v>
      </c>
      <c r="Q210">
        <f>IFERROR(sales[[#This Row],[GrossProfit]]/sales[[#This Row],[SalesAfterDiscount]],0)</f>
        <v>0.31098907156140027</v>
      </c>
    </row>
    <row r="211" spans="1:17">
      <c r="A211" t="s">
        <v>549</v>
      </c>
      <c r="B211" t="s">
        <v>550</v>
      </c>
      <c r="C211" s="1">
        <v>45916</v>
      </c>
      <c r="D211" t="s">
        <v>155</v>
      </c>
      <c r="E211" t="s">
        <v>20</v>
      </c>
      <c r="F211" t="s">
        <v>231</v>
      </c>
      <c r="G211" t="s">
        <v>22</v>
      </c>
      <c r="H211">
        <v>5</v>
      </c>
      <c r="I211">
        <v>17046.37</v>
      </c>
      <c r="J211">
        <v>0.05</v>
      </c>
      <c r="K211">
        <v>11700</v>
      </c>
      <c r="L211">
        <f>sales[[#This Row],[Quantity]]*sales[[#This Row],[UnitPrice]]</f>
        <v>85231.849999999991</v>
      </c>
      <c r="M211">
        <f>sales[[#This Row],[GrossSales]]*sales[[#This Row],[DiscountRate]]</f>
        <v>4261.5924999999997</v>
      </c>
      <c r="N211">
        <f>sales[[#This Row],[GrossSales]]-sales[[#This Row],[DiscountAmount]]</f>
        <v>80970.257499999992</v>
      </c>
      <c r="O211">
        <f>sales[[#This Row],[Quantity]]*sales[[#This Row],[UnitCostAtSale]]</f>
        <v>58500</v>
      </c>
      <c r="P211">
        <f>sales[[#This Row],[SalesAfterDiscount]]-sales[[#This Row],[CostOfGoodsSold]]</f>
        <v>22470.257499999992</v>
      </c>
      <c r="Q211">
        <f>IFERROR(sales[[#This Row],[GrossProfit]]/sales[[#This Row],[SalesAfterDiscount]],0)</f>
        <v>0.2775124866065789</v>
      </c>
    </row>
    <row r="212" spans="1:17">
      <c r="A212" t="s">
        <v>551</v>
      </c>
      <c r="B212" t="s">
        <v>552</v>
      </c>
      <c r="C212" s="1">
        <v>46016</v>
      </c>
      <c r="D212" t="s">
        <v>99</v>
      </c>
      <c r="E212" t="s">
        <v>50</v>
      </c>
      <c r="F212" t="s">
        <v>15</v>
      </c>
      <c r="G212" t="s">
        <v>22</v>
      </c>
      <c r="H212">
        <v>3</v>
      </c>
      <c r="I212">
        <v>10644.48</v>
      </c>
      <c r="J212">
        <v>0.15</v>
      </c>
      <c r="K212">
        <v>7050</v>
      </c>
      <c r="L212">
        <f>sales[[#This Row],[Quantity]]*sales[[#This Row],[UnitPrice]]</f>
        <v>31933.439999999999</v>
      </c>
      <c r="M212">
        <f>sales[[#This Row],[GrossSales]]*sales[[#This Row],[DiscountRate]]</f>
        <v>4790.0159999999996</v>
      </c>
      <c r="N212">
        <f>sales[[#This Row],[GrossSales]]-sales[[#This Row],[DiscountAmount]]</f>
        <v>27143.423999999999</v>
      </c>
      <c r="O212">
        <f>sales[[#This Row],[Quantity]]*sales[[#This Row],[UnitCostAtSale]]</f>
        <v>21150</v>
      </c>
      <c r="P212">
        <f>sales[[#This Row],[SalesAfterDiscount]]-sales[[#This Row],[CostOfGoodsSold]]</f>
        <v>5993.4239999999991</v>
      </c>
      <c r="Q212">
        <f>IFERROR(sales[[#This Row],[GrossProfit]]/sales[[#This Row],[SalesAfterDiscount]],0)</f>
        <v>0.22080574654104063</v>
      </c>
    </row>
    <row r="213" spans="1:17">
      <c r="A213" t="s">
        <v>553</v>
      </c>
      <c r="B213" t="s">
        <v>554</v>
      </c>
      <c r="C213" s="1">
        <v>46043</v>
      </c>
      <c r="D213" t="s">
        <v>155</v>
      </c>
      <c r="E213" t="s">
        <v>46</v>
      </c>
      <c r="F213" t="s">
        <v>555</v>
      </c>
      <c r="G213" t="s">
        <v>16</v>
      </c>
      <c r="H213">
        <v>3</v>
      </c>
      <c r="I213">
        <v>17046.37</v>
      </c>
      <c r="J213">
        <v>0.05</v>
      </c>
      <c r="K213">
        <v>11700</v>
      </c>
      <c r="L213">
        <f>sales[[#This Row],[Quantity]]*sales[[#This Row],[UnitPrice]]</f>
        <v>51139.11</v>
      </c>
      <c r="M213">
        <f>sales[[#This Row],[GrossSales]]*sales[[#This Row],[DiscountRate]]</f>
        <v>2556.9555</v>
      </c>
      <c r="N213">
        <f>sales[[#This Row],[GrossSales]]-sales[[#This Row],[DiscountAmount]]</f>
        <v>48582.154500000004</v>
      </c>
      <c r="O213">
        <f>sales[[#This Row],[Quantity]]*sales[[#This Row],[UnitCostAtSale]]</f>
        <v>35100</v>
      </c>
      <c r="P213">
        <f>sales[[#This Row],[SalesAfterDiscount]]-sales[[#This Row],[CostOfGoodsSold]]</f>
        <v>13482.154500000004</v>
      </c>
      <c r="Q213">
        <f>IFERROR(sales[[#This Row],[GrossProfit]]/sales[[#This Row],[SalesAfterDiscount]],0)</f>
        <v>0.27751248660657901</v>
      </c>
    </row>
    <row r="214" spans="1:17">
      <c r="A214" t="s">
        <v>556</v>
      </c>
      <c r="B214" t="s">
        <v>557</v>
      </c>
      <c r="C214" s="1">
        <v>46028</v>
      </c>
      <c r="D214" t="s">
        <v>122</v>
      </c>
      <c r="E214" t="s">
        <v>20</v>
      </c>
      <c r="F214" t="s">
        <v>558</v>
      </c>
      <c r="G214" t="s">
        <v>22</v>
      </c>
      <c r="H214">
        <v>1</v>
      </c>
      <c r="I214">
        <v>13246.95</v>
      </c>
      <c r="J214">
        <v>0.1</v>
      </c>
      <c r="K214">
        <v>9050</v>
      </c>
      <c r="L214">
        <f>sales[[#This Row],[Quantity]]*sales[[#This Row],[UnitPrice]]</f>
        <v>13246.95</v>
      </c>
      <c r="M214">
        <f>sales[[#This Row],[GrossSales]]*sales[[#This Row],[DiscountRate]]</f>
        <v>1324.6950000000002</v>
      </c>
      <c r="N214">
        <f>sales[[#This Row],[GrossSales]]-sales[[#This Row],[DiscountAmount]]</f>
        <v>11922.255000000001</v>
      </c>
      <c r="O214">
        <f>sales[[#This Row],[Quantity]]*sales[[#This Row],[UnitCostAtSale]]</f>
        <v>9050</v>
      </c>
      <c r="P214">
        <f>sales[[#This Row],[SalesAfterDiscount]]-sales[[#This Row],[CostOfGoodsSold]]</f>
        <v>2872.255000000001</v>
      </c>
      <c r="Q214">
        <f>IFERROR(sales[[#This Row],[GrossProfit]]/sales[[#This Row],[SalesAfterDiscount]],0)</f>
        <v>0.240915414072254</v>
      </c>
    </row>
    <row r="215" spans="1:17">
      <c r="A215" t="s">
        <v>559</v>
      </c>
      <c r="B215" t="s">
        <v>560</v>
      </c>
      <c r="C215" s="1">
        <v>46155</v>
      </c>
      <c r="D215" t="s">
        <v>286</v>
      </c>
      <c r="E215" t="s">
        <v>50</v>
      </c>
      <c r="F215" t="s">
        <v>474</v>
      </c>
      <c r="G215" t="s">
        <v>22</v>
      </c>
      <c r="H215">
        <v>2</v>
      </c>
      <c r="I215">
        <v>614.66</v>
      </c>
      <c r="J215">
        <v>0.05</v>
      </c>
      <c r="K215">
        <v>400</v>
      </c>
      <c r="L215">
        <f>sales[[#This Row],[Quantity]]*sales[[#This Row],[UnitPrice]]</f>
        <v>1229.32</v>
      </c>
      <c r="M215">
        <f>sales[[#This Row],[GrossSales]]*sales[[#This Row],[DiscountRate]]</f>
        <v>61.466000000000001</v>
      </c>
      <c r="N215">
        <f>sales[[#This Row],[GrossSales]]-sales[[#This Row],[DiscountAmount]]</f>
        <v>1167.854</v>
      </c>
      <c r="O215">
        <f>sales[[#This Row],[Quantity]]*sales[[#This Row],[UnitCostAtSale]]</f>
        <v>800</v>
      </c>
      <c r="P215">
        <f>sales[[#This Row],[SalesAfterDiscount]]-sales[[#This Row],[CostOfGoodsSold]]</f>
        <v>367.85400000000004</v>
      </c>
      <c r="Q215">
        <f>IFERROR(sales[[#This Row],[GrossProfit]]/sales[[#This Row],[SalesAfterDiscount]],0)</f>
        <v>0.31498286600893605</v>
      </c>
    </row>
    <row r="216" spans="1:17">
      <c r="A216" t="s">
        <v>561</v>
      </c>
      <c r="B216" t="s">
        <v>562</v>
      </c>
      <c r="C216" s="1">
        <v>45761</v>
      </c>
      <c r="D216" t="s">
        <v>155</v>
      </c>
      <c r="E216" t="s">
        <v>46</v>
      </c>
      <c r="F216" t="s">
        <v>317</v>
      </c>
      <c r="G216" t="s">
        <v>16</v>
      </c>
      <c r="H216">
        <v>5</v>
      </c>
      <c r="I216">
        <v>17046.37</v>
      </c>
      <c r="J216">
        <v>0.2</v>
      </c>
      <c r="K216">
        <v>11700</v>
      </c>
      <c r="L216">
        <f>sales[[#This Row],[Quantity]]*sales[[#This Row],[UnitPrice]]</f>
        <v>85231.849999999991</v>
      </c>
      <c r="M216">
        <f>sales[[#This Row],[GrossSales]]*sales[[#This Row],[DiscountRate]]</f>
        <v>17046.37</v>
      </c>
      <c r="N216">
        <f>sales[[#This Row],[GrossSales]]-sales[[#This Row],[DiscountAmount]]</f>
        <v>68185.48</v>
      </c>
      <c r="O216">
        <f>sales[[#This Row],[Quantity]]*sales[[#This Row],[UnitCostAtSale]]</f>
        <v>58500</v>
      </c>
      <c r="P216">
        <f>sales[[#This Row],[SalesAfterDiscount]]-sales[[#This Row],[CostOfGoodsSold]]</f>
        <v>9685.4799999999959</v>
      </c>
      <c r="Q216">
        <f>IFERROR(sales[[#This Row],[GrossProfit]]/sales[[#This Row],[SalesAfterDiscount]],0)</f>
        <v>0.14204607784531248</v>
      </c>
    </row>
    <row r="217" spans="1:17">
      <c r="A217" t="s">
        <v>563</v>
      </c>
      <c r="B217" t="s">
        <v>564</v>
      </c>
      <c r="C217" s="1">
        <v>45792</v>
      </c>
      <c r="D217" t="s">
        <v>45</v>
      </c>
      <c r="E217" t="s">
        <v>50</v>
      </c>
      <c r="F217" t="s">
        <v>148</v>
      </c>
      <c r="G217" t="s">
        <v>22</v>
      </c>
      <c r="H217">
        <v>5</v>
      </c>
      <c r="I217">
        <v>11889.76</v>
      </c>
      <c r="J217">
        <v>0.15</v>
      </c>
      <c r="K217">
        <v>9300</v>
      </c>
      <c r="L217">
        <f>sales[[#This Row],[Quantity]]*sales[[#This Row],[UnitPrice]]</f>
        <v>59448.800000000003</v>
      </c>
      <c r="M217">
        <f>sales[[#This Row],[GrossSales]]*sales[[#This Row],[DiscountRate]]</f>
        <v>8917.32</v>
      </c>
      <c r="N217">
        <f>sales[[#This Row],[GrossSales]]-sales[[#This Row],[DiscountAmount]]</f>
        <v>50531.48</v>
      </c>
      <c r="O217">
        <f>sales[[#This Row],[Quantity]]*sales[[#This Row],[UnitCostAtSale]]</f>
        <v>46500</v>
      </c>
      <c r="P217">
        <f>sales[[#This Row],[SalesAfterDiscount]]-sales[[#This Row],[CostOfGoodsSold]]</f>
        <v>4031.4800000000032</v>
      </c>
      <c r="Q217">
        <f>IFERROR(sales[[#This Row],[GrossProfit]]/sales[[#This Row],[SalesAfterDiscount]],0)</f>
        <v>7.9781553993668958E-2</v>
      </c>
    </row>
    <row r="218" spans="1:17">
      <c r="A218" t="s">
        <v>565</v>
      </c>
      <c r="B218" t="s">
        <v>566</v>
      </c>
      <c r="C218" s="1">
        <v>45827</v>
      </c>
      <c r="D218" t="s">
        <v>126</v>
      </c>
      <c r="E218" t="s">
        <v>72</v>
      </c>
      <c r="F218" t="s">
        <v>260</v>
      </c>
      <c r="G218" t="s">
        <v>22</v>
      </c>
      <c r="H218">
        <v>4</v>
      </c>
      <c r="I218">
        <v>17523.439999999999</v>
      </c>
      <c r="J218">
        <v>0</v>
      </c>
      <c r="K218">
        <v>11850</v>
      </c>
      <c r="L218">
        <f>sales[[#This Row],[Quantity]]*sales[[#This Row],[UnitPrice]]</f>
        <v>70093.759999999995</v>
      </c>
      <c r="M218">
        <f>sales[[#This Row],[GrossSales]]*sales[[#This Row],[DiscountRate]]</f>
        <v>0</v>
      </c>
      <c r="N218">
        <f>sales[[#This Row],[GrossSales]]-sales[[#This Row],[DiscountAmount]]</f>
        <v>70093.759999999995</v>
      </c>
      <c r="O218">
        <f>sales[[#This Row],[Quantity]]*sales[[#This Row],[UnitCostAtSale]]</f>
        <v>47400</v>
      </c>
      <c r="P218">
        <f>sales[[#This Row],[SalesAfterDiscount]]-sales[[#This Row],[CostOfGoodsSold]]</f>
        <v>22693.759999999995</v>
      </c>
      <c r="Q218">
        <f>IFERROR(sales[[#This Row],[GrossProfit]]/sales[[#This Row],[SalesAfterDiscount]],0)</f>
        <v>0.32376291413101532</v>
      </c>
    </row>
    <row r="219" spans="1:17">
      <c r="A219" t="s">
        <v>567</v>
      </c>
      <c r="B219" t="s">
        <v>568</v>
      </c>
      <c r="C219" s="1">
        <v>45949</v>
      </c>
      <c r="D219" t="s">
        <v>112</v>
      </c>
      <c r="E219" t="s">
        <v>46</v>
      </c>
      <c r="F219" t="s">
        <v>21</v>
      </c>
      <c r="G219" t="s">
        <v>16</v>
      </c>
      <c r="H219">
        <v>4</v>
      </c>
      <c r="I219">
        <v>10868.14</v>
      </c>
      <c r="J219">
        <v>0.05</v>
      </c>
      <c r="K219">
        <v>8850</v>
      </c>
      <c r="L219">
        <f>sales[[#This Row],[Quantity]]*sales[[#This Row],[UnitPrice]]</f>
        <v>43472.56</v>
      </c>
      <c r="M219">
        <f>sales[[#This Row],[GrossSales]]*sales[[#This Row],[DiscountRate]]</f>
        <v>2173.6280000000002</v>
      </c>
      <c r="N219">
        <f>sales[[#This Row],[GrossSales]]-sales[[#This Row],[DiscountAmount]]</f>
        <v>41298.932000000001</v>
      </c>
      <c r="O219">
        <f>sales[[#This Row],[Quantity]]*sales[[#This Row],[UnitCostAtSale]]</f>
        <v>35400</v>
      </c>
      <c r="P219">
        <f>sales[[#This Row],[SalesAfterDiscount]]-sales[[#This Row],[CostOfGoodsSold]]</f>
        <v>5898.9320000000007</v>
      </c>
      <c r="Q219">
        <f>IFERROR(sales[[#This Row],[GrossProfit]]/sales[[#This Row],[SalesAfterDiscount]],0)</f>
        <v>0.14283497694322944</v>
      </c>
    </row>
    <row r="220" spans="1:17">
      <c r="A220" t="s">
        <v>569</v>
      </c>
      <c r="B220" t="s">
        <v>570</v>
      </c>
      <c r="C220" s="1">
        <v>46138</v>
      </c>
      <c r="D220" t="s">
        <v>416</v>
      </c>
      <c r="E220" t="s">
        <v>46</v>
      </c>
      <c r="F220" t="s">
        <v>34</v>
      </c>
      <c r="G220" t="s">
        <v>16</v>
      </c>
      <c r="H220">
        <v>2</v>
      </c>
      <c r="I220">
        <v>3804.25</v>
      </c>
      <c r="J220">
        <v>0.1</v>
      </c>
      <c r="K220">
        <v>2800</v>
      </c>
      <c r="L220">
        <f>sales[[#This Row],[Quantity]]*sales[[#This Row],[UnitPrice]]</f>
        <v>7608.5</v>
      </c>
      <c r="M220">
        <f>sales[[#This Row],[GrossSales]]*sales[[#This Row],[DiscountRate]]</f>
        <v>760.85</v>
      </c>
      <c r="N220">
        <f>sales[[#This Row],[GrossSales]]-sales[[#This Row],[DiscountAmount]]</f>
        <v>6847.65</v>
      </c>
      <c r="O220">
        <f>sales[[#This Row],[Quantity]]*sales[[#This Row],[UnitCostAtSale]]</f>
        <v>5600</v>
      </c>
      <c r="P220">
        <f>sales[[#This Row],[SalesAfterDiscount]]-sales[[#This Row],[CostOfGoodsSold]]</f>
        <v>1247.6499999999996</v>
      </c>
      <c r="Q220">
        <f>IFERROR(sales[[#This Row],[GrossProfit]]/sales[[#This Row],[SalesAfterDiscount]],0)</f>
        <v>0.18220119311004501</v>
      </c>
    </row>
    <row r="221" spans="1:17">
      <c r="A221" t="s">
        <v>571</v>
      </c>
      <c r="B221" t="s">
        <v>572</v>
      </c>
      <c r="C221" s="1">
        <v>45946</v>
      </c>
      <c r="D221" t="s">
        <v>202</v>
      </c>
      <c r="E221" t="s">
        <v>46</v>
      </c>
      <c r="F221" t="s">
        <v>176</v>
      </c>
      <c r="G221" t="s">
        <v>22</v>
      </c>
      <c r="H221">
        <v>4</v>
      </c>
      <c r="I221">
        <v>3559.5</v>
      </c>
      <c r="J221">
        <v>0.2</v>
      </c>
      <c r="K221">
        <v>2250</v>
      </c>
      <c r="L221">
        <f>sales[[#This Row],[Quantity]]*sales[[#This Row],[UnitPrice]]</f>
        <v>14238</v>
      </c>
      <c r="M221">
        <f>sales[[#This Row],[GrossSales]]*sales[[#This Row],[DiscountRate]]</f>
        <v>2847.6000000000004</v>
      </c>
      <c r="N221">
        <f>sales[[#This Row],[GrossSales]]-sales[[#This Row],[DiscountAmount]]</f>
        <v>11390.4</v>
      </c>
      <c r="O221">
        <f>sales[[#This Row],[Quantity]]*sales[[#This Row],[UnitCostAtSale]]</f>
        <v>9000</v>
      </c>
      <c r="P221">
        <f>sales[[#This Row],[SalesAfterDiscount]]-sales[[#This Row],[CostOfGoodsSold]]</f>
        <v>2390.3999999999996</v>
      </c>
      <c r="Q221">
        <f>IFERROR(sales[[#This Row],[GrossProfit]]/sales[[#This Row],[SalesAfterDiscount]],0)</f>
        <v>0.20986093552465232</v>
      </c>
    </row>
    <row r="222" spans="1:17">
      <c r="A222" t="s">
        <v>573</v>
      </c>
      <c r="B222" t="s">
        <v>574</v>
      </c>
      <c r="C222" s="1">
        <v>45862</v>
      </c>
      <c r="D222" t="s">
        <v>126</v>
      </c>
      <c r="E222" t="s">
        <v>20</v>
      </c>
      <c r="F222" t="s">
        <v>68</v>
      </c>
      <c r="G222" t="s">
        <v>16</v>
      </c>
      <c r="H222">
        <v>5</v>
      </c>
      <c r="I222">
        <v>17523.439999999999</v>
      </c>
      <c r="J222">
        <v>0.05</v>
      </c>
      <c r="K222">
        <v>11850</v>
      </c>
      <c r="L222">
        <f>sales[[#This Row],[Quantity]]*sales[[#This Row],[UnitPrice]]</f>
        <v>87617.2</v>
      </c>
      <c r="M222">
        <f>sales[[#This Row],[GrossSales]]*sales[[#This Row],[DiscountRate]]</f>
        <v>4380.8599999999997</v>
      </c>
      <c r="N222">
        <f>sales[[#This Row],[GrossSales]]-sales[[#This Row],[DiscountAmount]]</f>
        <v>83236.34</v>
      </c>
      <c r="O222">
        <f>sales[[#This Row],[Quantity]]*sales[[#This Row],[UnitCostAtSale]]</f>
        <v>59250</v>
      </c>
      <c r="P222">
        <f>sales[[#This Row],[SalesAfterDiscount]]-sales[[#This Row],[CostOfGoodsSold]]</f>
        <v>23986.339999999997</v>
      </c>
      <c r="Q222">
        <f>IFERROR(sales[[#This Row],[GrossProfit]]/sales[[#This Row],[SalesAfterDiscount]],0)</f>
        <v>0.28817148855896352</v>
      </c>
    </row>
    <row r="223" spans="1:17">
      <c r="A223" t="s">
        <v>575</v>
      </c>
      <c r="B223" t="s">
        <v>576</v>
      </c>
      <c r="C223" s="1">
        <v>46038</v>
      </c>
      <c r="D223" t="s">
        <v>76</v>
      </c>
      <c r="E223" t="s">
        <v>46</v>
      </c>
      <c r="F223" t="s">
        <v>577</v>
      </c>
      <c r="G223" t="s">
        <v>16</v>
      </c>
      <c r="H223">
        <v>5</v>
      </c>
      <c r="I223">
        <v>11999.07</v>
      </c>
      <c r="J223">
        <v>0</v>
      </c>
      <c r="K223">
        <v>9550</v>
      </c>
      <c r="L223">
        <f>sales[[#This Row],[Quantity]]*sales[[#This Row],[UnitPrice]]</f>
        <v>59995.35</v>
      </c>
      <c r="M223">
        <f>sales[[#This Row],[GrossSales]]*sales[[#This Row],[DiscountRate]]</f>
        <v>0</v>
      </c>
      <c r="N223">
        <f>sales[[#This Row],[GrossSales]]-sales[[#This Row],[DiscountAmount]]</f>
        <v>59995.35</v>
      </c>
      <c r="O223">
        <f>sales[[#This Row],[Quantity]]*sales[[#This Row],[UnitCostAtSale]]</f>
        <v>47750</v>
      </c>
      <c r="P223">
        <f>sales[[#This Row],[SalesAfterDiscount]]-sales[[#This Row],[CostOfGoodsSold]]</f>
        <v>12245.349999999999</v>
      </c>
      <c r="Q223">
        <f>IFERROR(sales[[#This Row],[GrossProfit]]/sales[[#This Row],[SalesAfterDiscount]],0)</f>
        <v>0.20410498480298889</v>
      </c>
    </row>
    <row r="224" spans="1:17">
      <c r="A224" t="s">
        <v>578</v>
      </c>
      <c r="B224" t="s">
        <v>579</v>
      </c>
      <c r="C224" s="1">
        <v>45822</v>
      </c>
      <c r="D224" t="s">
        <v>71</v>
      </c>
      <c r="E224" t="s">
        <v>46</v>
      </c>
      <c r="F224" t="s">
        <v>189</v>
      </c>
      <c r="G224" t="s">
        <v>16</v>
      </c>
      <c r="H224">
        <v>3</v>
      </c>
      <c r="I224">
        <v>5799.34</v>
      </c>
      <c r="J224">
        <v>0.15</v>
      </c>
      <c r="K224">
        <v>3800</v>
      </c>
      <c r="L224">
        <f>sales[[#This Row],[Quantity]]*sales[[#This Row],[UnitPrice]]</f>
        <v>17398.02</v>
      </c>
      <c r="M224">
        <f>sales[[#This Row],[GrossSales]]*sales[[#This Row],[DiscountRate]]</f>
        <v>2609.703</v>
      </c>
      <c r="N224">
        <f>sales[[#This Row],[GrossSales]]-sales[[#This Row],[DiscountAmount]]</f>
        <v>14788.317000000001</v>
      </c>
      <c r="O224">
        <f>sales[[#This Row],[Quantity]]*sales[[#This Row],[UnitCostAtSale]]</f>
        <v>11400</v>
      </c>
      <c r="P224">
        <f>sales[[#This Row],[SalesAfterDiscount]]-sales[[#This Row],[CostOfGoodsSold]]</f>
        <v>3388.3170000000009</v>
      </c>
      <c r="Q224">
        <f>IFERROR(sales[[#This Row],[GrossProfit]]/sales[[#This Row],[SalesAfterDiscount]],0)</f>
        <v>0.22912120425874025</v>
      </c>
    </row>
    <row r="225" spans="1:17">
      <c r="A225" t="s">
        <v>580</v>
      </c>
      <c r="B225" t="s">
        <v>581</v>
      </c>
      <c r="C225" s="1">
        <v>45885</v>
      </c>
      <c r="D225" t="s">
        <v>71</v>
      </c>
      <c r="E225" t="s">
        <v>14</v>
      </c>
      <c r="F225" t="s">
        <v>176</v>
      </c>
      <c r="G225" t="s">
        <v>22</v>
      </c>
      <c r="H225">
        <v>4</v>
      </c>
      <c r="I225">
        <v>5799.34</v>
      </c>
      <c r="J225">
        <v>0.1</v>
      </c>
      <c r="K225">
        <v>3800</v>
      </c>
      <c r="L225">
        <f>sales[[#This Row],[Quantity]]*sales[[#This Row],[UnitPrice]]</f>
        <v>23197.360000000001</v>
      </c>
      <c r="M225">
        <f>sales[[#This Row],[GrossSales]]*sales[[#This Row],[DiscountRate]]</f>
        <v>2319.7360000000003</v>
      </c>
      <c r="N225">
        <f>sales[[#This Row],[GrossSales]]-sales[[#This Row],[DiscountAmount]]</f>
        <v>20877.624</v>
      </c>
      <c r="O225">
        <f>sales[[#This Row],[Quantity]]*sales[[#This Row],[UnitCostAtSale]]</f>
        <v>15200</v>
      </c>
      <c r="P225">
        <f>sales[[#This Row],[SalesAfterDiscount]]-sales[[#This Row],[CostOfGoodsSold]]</f>
        <v>5677.6239999999998</v>
      </c>
      <c r="Q225">
        <f>IFERROR(sales[[#This Row],[GrossProfit]]/sales[[#This Row],[SalesAfterDiscount]],0)</f>
        <v>0.27194780402214352</v>
      </c>
    </row>
    <row r="226" spans="1:17">
      <c r="A226" t="s">
        <v>582</v>
      </c>
      <c r="B226" t="s">
        <v>583</v>
      </c>
      <c r="C226" s="1">
        <v>46172</v>
      </c>
      <c r="D226" t="s">
        <v>151</v>
      </c>
      <c r="E226" t="s">
        <v>72</v>
      </c>
      <c r="F226" t="s">
        <v>231</v>
      </c>
      <c r="G226" t="s">
        <v>16</v>
      </c>
      <c r="H226">
        <v>3</v>
      </c>
      <c r="I226">
        <v>11729.87</v>
      </c>
      <c r="J226">
        <v>0.05</v>
      </c>
      <c r="K226">
        <v>8950</v>
      </c>
      <c r="L226">
        <f>sales[[#This Row],[Quantity]]*sales[[#This Row],[UnitPrice]]</f>
        <v>35189.61</v>
      </c>
      <c r="M226">
        <f>sales[[#This Row],[GrossSales]]*sales[[#This Row],[DiscountRate]]</f>
        <v>1759.4805000000001</v>
      </c>
      <c r="N226">
        <f>sales[[#This Row],[GrossSales]]-sales[[#This Row],[DiscountAmount]]</f>
        <v>33430.129500000003</v>
      </c>
      <c r="O226">
        <f>sales[[#This Row],[Quantity]]*sales[[#This Row],[UnitCostAtSale]]</f>
        <v>26850</v>
      </c>
      <c r="P226">
        <f>sales[[#This Row],[SalesAfterDiscount]]-sales[[#This Row],[CostOfGoodsSold]]</f>
        <v>6580.1295000000027</v>
      </c>
      <c r="Q226">
        <f>IFERROR(sales[[#This Row],[GrossProfit]]/sales[[#This Row],[SalesAfterDiscount]],0)</f>
        <v>0.1968323066172987</v>
      </c>
    </row>
    <row r="227" spans="1:17">
      <c r="A227" t="s">
        <v>584</v>
      </c>
      <c r="B227" t="s">
        <v>585</v>
      </c>
      <c r="C227" s="1">
        <v>45686</v>
      </c>
      <c r="D227" t="s">
        <v>25</v>
      </c>
      <c r="E227" t="s">
        <v>20</v>
      </c>
      <c r="F227" t="s">
        <v>189</v>
      </c>
      <c r="G227" t="s">
        <v>22</v>
      </c>
      <c r="H227">
        <v>3</v>
      </c>
      <c r="I227">
        <v>18592.419999999998</v>
      </c>
      <c r="J227">
        <v>0</v>
      </c>
      <c r="K227">
        <v>14600</v>
      </c>
      <c r="L227">
        <f>sales[[#This Row],[Quantity]]*sales[[#This Row],[UnitPrice]]</f>
        <v>55777.259999999995</v>
      </c>
      <c r="M227">
        <f>sales[[#This Row],[GrossSales]]*sales[[#This Row],[DiscountRate]]</f>
        <v>0</v>
      </c>
      <c r="N227">
        <f>sales[[#This Row],[GrossSales]]-sales[[#This Row],[DiscountAmount]]</f>
        <v>55777.259999999995</v>
      </c>
      <c r="O227">
        <f>sales[[#This Row],[Quantity]]*sales[[#This Row],[UnitCostAtSale]]</f>
        <v>43800</v>
      </c>
      <c r="P227">
        <f>sales[[#This Row],[SalesAfterDiscount]]-sales[[#This Row],[CostOfGoodsSold]]</f>
        <v>11977.259999999995</v>
      </c>
      <c r="Q227">
        <f>IFERROR(sales[[#This Row],[GrossProfit]]/sales[[#This Row],[SalesAfterDiscount]],0)</f>
        <v>0.21473374633318301</v>
      </c>
    </row>
    <row r="228" spans="1:17">
      <c r="A228" t="s">
        <v>586</v>
      </c>
      <c r="B228" t="s">
        <v>587</v>
      </c>
      <c r="C228" s="1">
        <v>45951</v>
      </c>
      <c r="D228" t="s">
        <v>60</v>
      </c>
      <c r="E228" t="s">
        <v>72</v>
      </c>
      <c r="F228" t="s">
        <v>468</v>
      </c>
      <c r="G228" t="s">
        <v>22</v>
      </c>
      <c r="H228">
        <v>4</v>
      </c>
      <c r="I228">
        <v>9389.4699999999993</v>
      </c>
      <c r="J228">
        <v>0.05</v>
      </c>
      <c r="K228">
        <v>7250</v>
      </c>
      <c r="L228">
        <f>sales[[#This Row],[Quantity]]*sales[[#This Row],[UnitPrice]]</f>
        <v>37557.879999999997</v>
      </c>
      <c r="M228">
        <f>sales[[#This Row],[GrossSales]]*sales[[#This Row],[DiscountRate]]</f>
        <v>1877.894</v>
      </c>
      <c r="N228">
        <f>sales[[#This Row],[GrossSales]]-sales[[#This Row],[DiscountAmount]]</f>
        <v>35679.985999999997</v>
      </c>
      <c r="O228">
        <f>sales[[#This Row],[Quantity]]*sales[[#This Row],[UnitCostAtSale]]</f>
        <v>29000</v>
      </c>
      <c r="P228">
        <f>sales[[#This Row],[SalesAfterDiscount]]-sales[[#This Row],[CostOfGoodsSold]]</f>
        <v>6679.9859999999971</v>
      </c>
      <c r="Q228">
        <f>IFERROR(sales[[#This Row],[GrossProfit]]/sales[[#This Row],[SalesAfterDiscount]],0)</f>
        <v>0.18721941202555398</v>
      </c>
    </row>
    <row r="229" spans="1:17">
      <c r="A229" t="s">
        <v>588</v>
      </c>
      <c r="B229" t="s">
        <v>589</v>
      </c>
      <c r="C229" s="1">
        <v>45739</v>
      </c>
      <c r="D229" t="s">
        <v>45</v>
      </c>
      <c r="E229" t="s">
        <v>50</v>
      </c>
      <c r="F229" t="s">
        <v>474</v>
      </c>
      <c r="G229" t="s">
        <v>16</v>
      </c>
      <c r="H229">
        <v>1</v>
      </c>
      <c r="I229">
        <v>11889.76</v>
      </c>
      <c r="J229">
        <v>0.1</v>
      </c>
      <c r="K229">
        <v>9300</v>
      </c>
      <c r="L229">
        <f>sales[[#This Row],[Quantity]]*sales[[#This Row],[UnitPrice]]</f>
        <v>11889.76</v>
      </c>
      <c r="M229">
        <f>sales[[#This Row],[GrossSales]]*sales[[#This Row],[DiscountRate]]</f>
        <v>1188.9760000000001</v>
      </c>
      <c r="N229">
        <f>sales[[#This Row],[GrossSales]]-sales[[#This Row],[DiscountAmount]]</f>
        <v>10700.784</v>
      </c>
      <c r="O229">
        <f>sales[[#This Row],[Quantity]]*sales[[#This Row],[UnitCostAtSale]]</f>
        <v>9300</v>
      </c>
      <c r="P229">
        <f>sales[[#This Row],[SalesAfterDiscount]]-sales[[#This Row],[CostOfGoodsSold]]</f>
        <v>1400.7839999999997</v>
      </c>
      <c r="Q229">
        <f>IFERROR(sales[[#This Row],[GrossProfit]]/sales[[#This Row],[SalesAfterDiscount]],0)</f>
        <v>0.1309048009940206</v>
      </c>
    </row>
    <row r="230" spans="1:17">
      <c r="A230" t="s">
        <v>590</v>
      </c>
      <c r="B230" t="s">
        <v>591</v>
      </c>
      <c r="C230" s="1">
        <v>45953</v>
      </c>
      <c r="D230" t="s">
        <v>37</v>
      </c>
      <c r="E230" t="s">
        <v>14</v>
      </c>
      <c r="F230" t="s">
        <v>68</v>
      </c>
      <c r="G230" t="s">
        <v>22</v>
      </c>
      <c r="H230">
        <v>2</v>
      </c>
      <c r="I230">
        <v>17336.23</v>
      </c>
      <c r="J230">
        <v>0.1</v>
      </c>
      <c r="K230">
        <v>14200</v>
      </c>
      <c r="L230">
        <f>sales[[#This Row],[Quantity]]*sales[[#This Row],[UnitPrice]]</f>
        <v>34672.46</v>
      </c>
      <c r="M230">
        <f>sales[[#This Row],[GrossSales]]*sales[[#This Row],[DiscountRate]]</f>
        <v>3467.2460000000001</v>
      </c>
      <c r="N230">
        <f>sales[[#This Row],[GrossSales]]-sales[[#This Row],[DiscountAmount]]</f>
        <v>31205.214</v>
      </c>
      <c r="O230">
        <f>sales[[#This Row],[Quantity]]*sales[[#This Row],[UnitCostAtSale]]</f>
        <v>28400</v>
      </c>
      <c r="P230">
        <f>sales[[#This Row],[SalesAfterDiscount]]-sales[[#This Row],[CostOfGoodsSold]]</f>
        <v>2805.2139999999999</v>
      </c>
      <c r="Q230">
        <f>IFERROR(sales[[#This Row],[GrossProfit]]/sales[[#This Row],[SalesAfterDiscount]],0)</f>
        <v>8.9895682176702907E-2</v>
      </c>
    </row>
    <row r="231" spans="1:17">
      <c r="A231" t="s">
        <v>592</v>
      </c>
      <c r="B231" t="s">
        <v>593</v>
      </c>
      <c r="C231" s="1">
        <v>46126</v>
      </c>
      <c r="D231" t="s">
        <v>316</v>
      </c>
      <c r="E231" t="s">
        <v>72</v>
      </c>
      <c r="F231" t="s">
        <v>15</v>
      </c>
      <c r="G231" t="s">
        <v>22</v>
      </c>
      <c r="H231">
        <v>1</v>
      </c>
      <c r="I231">
        <v>9371.8700000000008</v>
      </c>
      <c r="J231">
        <v>0</v>
      </c>
      <c r="K231">
        <v>5750</v>
      </c>
      <c r="L231">
        <f>sales[[#This Row],[Quantity]]*sales[[#This Row],[UnitPrice]]</f>
        <v>9371.8700000000008</v>
      </c>
      <c r="M231">
        <f>sales[[#This Row],[GrossSales]]*sales[[#This Row],[DiscountRate]]</f>
        <v>0</v>
      </c>
      <c r="N231">
        <f>sales[[#This Row],[GrossSales]]-sales[[#This Row],[DiscountAmount]]</f>
        <v>9371.8700000000008</v>
      </c>
      <c r="O231">
        <f>sales[[#This Row],[Quantity]]*sales[[#This Row],[UnitCostAtSale]]</f>
        <v>5750</v>
      </c>
      <c r="P231">
        <f>sales[[#This Row],[SalesAfterDiscount]]-sales[[#This Row],[CostOfGoodsSold]]</f>
        <v>3621.8700000000008</v>
      </c>
      <c r="Q231">
        <f>IFERROR(sales[[#This Row],[GrossProfit]]/sales[[#This Row],[SalesAfterDiscount]],0)</f>
        <v>0.38646182672188162</v>
      </c>
    </row>
    <row r="232" spans="1:17">
      <c r="A232" t="s">
        <v>594</v>
      </c>
      <c r="B232" t="s">
        <v>595</v>
      </c>
      <c r="C232" s="1">
        <v>46185</v>
      </c>
      <c r="D232" t="s">
        <v>130</v>
      </c>
      <c r="E232" t="s">
        <v>50</v>
      </c>
      <c r="F232" t="s">
        <v>596</v>
      </c>
      <c r="G232" t="s">
        <v>16</v>
      </c>
      <c r="H232">
        <v>5</v>
      </c>
      <c r="I232">
        <v>12166.11</v>
      </c>
      <c r="J232">
        <v>0.05</v>
      </c>
      <c r="K232">
        <v>7750</v>
      </c>
      <c r="L232">
        <f>sales[[#This Row],[Quantity]]*sales[[#This Row],[UnitPrice]]</f>
        <v>60830.55</v>
      </c>
      <c r="M232">
        <f>sales[[#This Row],[GrossSales]]*sales[[#This Row],[DiscountRate]]</f>
        <v>3041.5275000000001</v>
      </c>
      <c r="N232">
        <f>sales[[#This Row],[GrossSales]]-sales[[#This Row],[DiscountAmount]]</f>
        <v>57789.022500000006</v>
      </c>
      <c r="O232">
        <f>sales[[#This Row],[Quantity]]*sales[[#This Row],[UnitCostAtSale]]</f>
        <v>38750</v>
      </c>
      <c r="P232">
        <f>sales[[#This Row],[SalesAfterDiscount]]-sales[[#This Row],[CostOfGoodsSold]]</f>
        <v>19039.022500000006</v>
      </c>
      <c r="Q232">
        <f>IFERROR(sales[[#This Row],[GrossProfit]]/sales[[#This Row],[SalesAfterDiscount]],0)</f>
        <v>0.32945742420197544</v>
      </c>
    </row>
    <row r="233" spans="1:17">
      <c r="A233" t="s">
        <v>597</v>
      </c>
      <c r="B233" t="s">
        <v>598</v>
      </c>
      <c r="C233" s="1">
        <v>46019</v>
      </c>
      <c r="D233" t="s">
        <v>161</v>
      </c>
      <c r="E233" t="s">
        <v>72</v>
      </c>
      <c r="F233" t="s">
        <v>558</v>
      </c>
      <c r="G233" t="s">
        <v>22</v>
      </c>
      <c r="H233">
        <v>2</v>
      </c>
      <c r="I233">
        <v>3694.44</v>
      </c>
      <c r="J233">
        <v>0.2</v>
      </c>
      <c r="K233">
        <v>3100</v>
      </c>
      <c r="L233">
        <f>sales[[#This Row],[Quantity]]*sales[[#This Row],[UnitPrice]]</f>
        <v>7388.88</v>
      </c>
      <c r="M233">
        <f>sales[[#This Row],[GrossSales]]*sales[[#This Row],[DiscountRate]]</f>
        <v>1477.7760000000001</v>
      </c>
      <c r="N233">
        <f>sales[[#This Row],[GrossSales]]-sales[[#This Row],[DiscountAmount]]</f>
        <v>5911.1040000000003</v>
      </c>
      <c r="O233">
        <f>sales[[#This Row],[Quantity]]*sales[[#This Row],[UnitCostAtSale]]</f>
        <v>6200</v>
      </c>
      <c r="P233">
        <f>sales[[#This Row],[SalesAfterDiscount]]-sales[[#This Row],[CostOfGoodsSold]]</f>
        <v>-288.89599999999973</v>
      </c>
      <c r="Q233">
        <f>IFERROR(sales[[#This Row],[GrossProfit]]/sales[[#This Row],[SalesAfterDiscount]],0)</f>
        <v>-4.8873442253765068E-2</v>
      </c>
    </row>
    <row r="234" spans="1:17">
      <c r="A234" t="s">
        <v>599</v>
      </c>
      <c r="B234" t="s">
        <v>600</v>
      </c>
      <c r="C234" s="1">
        <v>46027</v>
      </c>
      <c r="D234" t="s">
        <v>122</v>
      </c>
      <c r="E234" t="s">
        <v>46</v>
      </c>
      <c r="F234" t="s">
        <v>106</v>
      </c>
      <c r="G234" t="s">
        <v>22</v>
      </c>
      <c r="H234">
        <v>1</v>
      </c>
      <c r="I234">
        <v>13246.95</v>
      </c>
      <c r="J234">
        <v>0.2</v>
      </c>
      <c r="K234">
        <v>9050</v>
      </c>
      <c r="L234">
        <f>sales[[#This Row],[Quantity]]*sales[[#This Row],[UnitPrice]]</f>
        <v>13246.95</v>
      </c>
      <c r="M234">
        <f>sales[[#This Row],[GrossSales]]*sales[[#This Row],[DiscountRate]]</f>
        <v>2649.3900000000003</v>
      </c>
      <c r="N234">
        <f>sales[[#This Row],[GrossSales]]-sales[[#This Row],[DiscountAmount]]</f>
        <v>10597.560000000001</v>
      </c>
      <c r="O234">
        <f>sales[[#This Row],[Quantity]]*sales[[#This Row],[UnitCostAtSale]]</f>
        <v>9050</v>
      </c>
      <c r="P234">
        <f>sales[[#This Row],[SalesAfterDiscount]]-sales[[#This Row],[CostOfGoodsSold]]</f>
        <v>1547.5600000000013</v>
      </c>
      <c r="Q234">
        <f>IFERROR(sales[[#This Row],[GrossProfit]]/sales[[#This Row],[SalesAfterDiscount]],0)</f>
        <v>0.14602984083128578</v>
      </c>
    </row>
    <row r="235" spans="1:17">
      <c r="A235" t="s">
        <v>601</v>
      </c>
      <c r="B235" t="s">
        <v>602</v>
      </c>
      <c r="C235" s="1">
        <v>46139</v>
      </c>
      <c r="D235" t="s">
        <v>151</v>
      </c>
      <c r="E235" t="s">
        <v>20</v>
      </c>
      <c r="F235" t="s">
        <v>298</v>
      </c>
      <c r="G235" t="s">
        <v>22</v>
      </c>
      <c r="H235">
        <v>1</v>
      </c>
      <c r="I235">
        <v>11729.87</v>
      </c>
      <c r="J235">
        <v>0.15</v>
      </c>
      <c r="K235">
        <v>8950</v>
      </c>
      <c r="L235">
        <f>sales[[#This Row],[Quantity]]*sales[[#This Row],[UnitPrice]]</f>
        <v>11729.87</v>
      </c>
      <c r="M235">
        <f>sales[[#This Row],[GrossSales]]*sales[[#This Row],[DiscountRate]]</f>
        <v>1759.4805000000001</v>
      </c>
      <c r="N235">
        <f>sales[[#This Row],[GrossSales]]-sales[[#This Row],[DiscountAmount]]</f>
        <v>9970.3895000000011</v>
      </c>
      <c r="O235">
        <f>sales[[#This Row],[Quantity]]*sales[[#This Row],[UnitCostAtSale]]</f>
        <v>8950</v>
      </c>
      <c r="P235">
        <f>sales[[#This Row],[SalesAfterDiscount]]-sales[[#This Row],[CostOfGoodsSold]]</f>
        <v>1020.3895000000011</v>
      </c>
      <c r="Q235">
        <f>IFERROR(sales[[#This Row],[GrossProfit]]/sales[[#This Row],[SalesAfterDiscount]],0)</f>
        <v>0.10234198974874563</v>
      </c>
    </row>
    <row r="236" spans="1:17">
      <c r="A236" t="s">
        <v>603</v>
      </c>
      <c r="B236" t="s">
        <v>604</v>
      </c>
      <c r="C236" s="1">
        <v>45727</v>
      </c>
      <c r="D236" t="s">
        <v>13</v>
      </c>
      <c r="E236" t="s">
        <v>14</v>
      </c>
      <c r="F236" t="s">
        <v>127</v>
      </c>
      <c r="G236" t="s">
        <v>16</v>
      </c>
      <c r="H236">
        <v>3</v>
      </c>
      <c r="I236">
        <v>6484.94</v>
      </c>
      <c r="J236">
        <v>0.05</v>
      </c>
      <c r="K236">
        <v>4300</v>
      </c>
      <c r="L236">
        <f>sales[[#This Row],[Quantity]]*sales[[#This Row],[UnitPrice]]</f>
        <v>19454.82</v>
      </c>
      <c r="M236">
        <f>sales[[#This Row],[GrossSales]]*sales[[#This Row],[DiscountRate]]</f>
        <v>972.74099999999999</v>
      </c>
      <c r="N236">
        <f>sales[[#This Row],[GrossSales]]-sales[[#This Row],[DiscountAmount]]</f>
        <v>18482.078999999998</v>
      </c>
      <c r="O236">
        <f>sales[[#This Row],[Quantity]]*sales[[#This Row],[UnitCostAtSale]]</f>
        <v>12900</v>
      </c>
      <c r="P236">
        <f>sales[[#This Row],[SalesAfterDiscount]]-sales[[#This Row],[CostOfGoodsSold]]</f>
        <v>5582.0789999999979</v>
      </c>
      <c r="Q236">
        <f>IFERROR(sales[[#This Row],[GrossProfit]]/sales[[#This Row],[SalesAfterDiscount]],0)</f>
        <v>0.30202657395848154</v>
      </c>
    </row>
    <row r="237" spans="1:17">
      <c r="A237" t="s">
        <v>605</v>
      </c>
      <c r="B237" t="s">
        <v>606</v>
      </c>
      <c r="C237" s="1">
        <v>45703</v>
      </c>
      <c r="D237" t="s">
        <v>29</v>
      </c>
      <c r="E237" t="s">
        <v>20</v>
      </c>
      <c r="F237" t="s">
        <v>257</v>
      </c>
      <c r="G237" t="s">
        <v>22</v>
      </c>
      <c r="H237">
        <v>3</v>
      </c>
      <c r="I237">
        <v>13204.06</v>
      </c>
      <c r="J237">
        <v>0.2</v>
      </c>
      <c r="K237">
        <v>11050</v>
      </c>
      <c r="L237">
        <f>sales[[#This Row],[Quantity]]*sales[[#This Row],[UnitPrice]]</f>
        <v>39612.18</v>
      </c>
      <c r="M237">
        <f>sales[[#This Row],[GrossSales]]*sales[[#This Row],[DiscountRate]]</f>
        <v>7922.4360000000006</v>
      </c>
      <c r="N237">
        <f>sales[[#This Row],[GrossSales]]-sales[[#This Row],[DiscountAmount]]</f>
        <v>31689.743999999999</v>
      </c>
      <c r="O237">
        <f>sales[[#This Row],[Quantity]]*sales[[#This Row],[UnitCostAtSale]]</f>
        <v>33150</v>
      </c>
      <c r="P237">
        <f>sales[[#This Row],[SalesAfterDiscount]]-sales[[#This Row],[CostOfGoodsSold]]</f>
        <v>-1460.2560000000012</v>
      </c>
      <c r="Q237">
        <f>IFERROR(sales[[#This Row],[GrossProfit]]/sales[[#This Row],[SalesAfterDiscount]],0)</f>
        <v>-4.6079766374887761E-2</v>
      </c>
    </row>
    <row r="238" spans="1:17">
      <c r="A238" t="s">
        <v>607</v>
      </c>
      <c r="B238" t="s">
        <v>608</v>
      </c>
      <c r="C238" s="1">
        <v>46133</v>
      </c>
      <c r="D238" t="s">
        <v>126</v>
      </c>
      <c r="E238" t="s">
        <v>50</v>
      </c>
      <c r="F238" t="s">
        <v>379</v>
      </c>
      <c r="G238" t="s">
        <v>16</v>
      </c>
      <c r="H238">
        <v>4</v>
      </c>
      <c r="I238">
        <v>17523.439999999999</v>
      </c>
      <c r="J238">
        <v>0.05</v>
      </c>
      <c r="K238">
        <v>11850</v>
      </c>
      <c r="L238">
        <f>sales[[#This Row],[Quantity]]*sales[[#This Row],[UnitPrice]]</f>
        <v>70093.759999999995</v>
      </c>
      <c r="M238">
        <f>sales[[#This Row],[GrossSales]]*sales[[#This Row],[DiscountRate]]</f>
        <v>3504.6880000000001</v>
      </c>
      <c r="N238">
        <f>sales[[#This Row],[GrossSales]]-sales[[#This Row],[DiscountAmount]]</f>
        <v>66589.072</v>
      </c>
      <c r="O238">
        <f>sales[[#This Row],[Quantity]]*sales[[#This Row],[UnitCostAtSale]]</f>
        <v>47400</v>
      </c>
      <c r="P238">
        <f>sales[[#This Row],[SalesAfterDiscount]]-sales[[#This Row],[CostOfGoodsSold]]</f>
        <v>19189.072</v>
      </c>
      <c r="Q238">
        <f>IFERROR(sales[[#This Row],[GrossProfit]]/sales[[#This Row],[SalesAfterDiscount]],0)</f>
        <v>0.28817148855896357</v>
      </c>
    </row>
    <row r="239" spans="1:17">
      <c r="A239" t="s">
        <v>609</v>
      </c>
      <c r="B239" t="s">
        <v>610</v>
      </c>
      <c r="C239" s="1">
        <v>45958</v>
      </c>
      <c r="D239" t="s">
        <v>60</v>
      </c>
      <c r="E239" t="s">
        <v>50</v>
      </c>
      <c r="F239" t="s">
        <v>254</v>
      </c>
      <c r="G239" t="s">
        <v>16</v>
      </c>
      <c r="H239">
        <v>2</v>
      </c>
      <c r="I239">
        <v>9389.4699999999993</v>
      </c>
      <c r="J239">
        <v>0</v>
      </c>
      <c r="K239">
        <v>7250</v>
      </c>
      <c r="L239">
        <f>sales[[#This Row],[Quantity]]*sales[[#This Row],[UnitPrice]]</f>
        <v>18778.939999999999</v>
      </c>
      <c r="M239">
        <f>sales[[#This Row],[GrossSales]]*sales[[#This Row],[DiscountRate]]</f>
        <v>0</v>
      </c>
      <c r="N239">
        <f>sales[[#This Row],[GrossSales]]-sales[[#This Row],[DiscountAmount]]</f>
        <v>18778.939999999999</v>
      </c>
      <c r="O239">
        <f>sales[[#This Row],[Quantity]]*sales[[#This Row],[UnitCostAtSale]]</f>
        <v>14500</v>
      </c>
      <c r="P239">
        <f>sales[[#This Row],[SalesAfterDiscount]]-sales[[#This Row],[CostOfGoodsSold]]</f>
        <v>4278.9399999999987</v>
      </c>
      <c r="Q239">
        <f>IFERROR(sales[[#This Row],[GrossProfit]]/sales[[#This Row],[SalesAfterDiscount]],0)</f>
        <v>0.2278584414242763</v>
      </c>
    </row>
    <row r="240" spans="1:17">
      <c r="A240" t="s">
        <v>611</v>
      </c>
      <c r="B240" t="s">
        <v>612</v>
      </c>
      <c r="C240" s="1">
        <v>45975</v>
      </c>
      <c r="D240" t="s">
        <v>99</v>
      </c>
      <c r="E240" t="s">
        <v>46</v>
      </c>
      <c r="F240" t="s">
        <v>183</v>
      </c>
      <c r="G240" t="s">
        <v>16</v>
      </c>
      <c r="H240">
        <v>5</v>
      </c>
      <c r="I240">
        <v>10644.48</v>
      </c>
      <c r="J240">
        <v>0.15</v>
      </c>
      <c r="K240">
        <v>7050</v>
      </c>
      <c r="L240">
        <f>sales[[#This Row],[Quantity]]*sales[[#This Row],[UnitPrice]]</f>
        <v>53222.399999999994</v>
      </c>
      <c r="M240">
        <f>sales[[#This Row],[GrossSales]]*sales[[#This Row],[DiscountRate]]</f>
        <v>7983.3599999999988</v>
      </c>
      <c r="N240">
        <f>sales[[#This Row],[GrossSales]]-sales[[#This Row],[DiscountAmount]]</f>
        <v>45239.039999999994</v>
      </c>
      <c r="O240">
        <f>sales[[#This Row],[Quantity]]*sales[[#This Row],[UnitCostAtSale]]</f>
        <v>35250</v>
      </c>
      <c r="P240">
        <f>sales[[#This Row],[SalesAfterDiscount]]-sales[[#This Row],[CostOfGoodsSold]]</f>
        <v>9989.0399999999936</v>
      </c>
      <c r="Q240">
        <f>IFERROR(sales[[#This Row],[GrossProfit]]/sales[[#This Row],[SalesAfterDiscount]],0)</f>
        <v>0.22080574654104054</v>
      </c>
    </row>
    <row r="241" spans="1:17">
      <c r="A241" t="s">
        <v>613</v>
      </c>
      <c r="B241" t="s">
        <v>614</v>
      </c>
      <c r="C241" s="1">
        <v>45853</v>
      </c>
      <c r="D241" t="s">
        <v>60</v>
      </c>
      <c r="E241" t="s">
        <v>14</v>
      </c>
      <c r="F241" t="s">
        <v>263</v>
      </c>
      <c r="G241" t="s">
        <v>16</v>
      </c>
      <c r="H241">
        <v>3</v>
      </c>
      <c r="I241">
        <v>9389.4699999999993</v>
      </c>
      <c r="J241">
        <v>0.1</v>
      </c>
      <c r="K241">
        <v>7250</v>
      </c>
      <c r="L241">
        <f>sales[[#This Row],[Quantity]]*sales[[#This Row],[UnitPrice]]</f>
        <v>28168.409999999996</v>
      </c>
      <c r="M241">
        <f>sales[[#This Row],[GrossSales]]*sales[[#This Row],[DiscountRate]]</f>
        <v>2816.8409999999999</v>
      </c>
      <c r="N241">
        <f>sales[[#This Row],[GrossSales]]-sales[[#This Row],[DiscountAmount]]</f>
        <v>25351.568999999996</v>
      </c>
      <c r="O241">
        <f>sales[[#This Row],[Quantity]]*sales[[#This Row],[UnitCostAtSale]]</f>
        <v>21750</v>
      </c>
      <c r="P241">
        <f>sales[[#This Row],[SalesAfterDiscount]]-sales[[#This Row],[CostOfGoodsSold]]</f>
        <v>3601.5689999999959</v>
      </c>
      <c r="Q241">
        <f>IFERROR(sales[[#This Row],[GrossProfit]]/sales[[#This Row],[SalesAfterDiscount]],0)</f>
        <v>0.14206493491586247</v>
      </c>
    </row>
    <row r="242" spans="1:17">
      <c r="A242" t="s">
        <v>615</v>
      </c>
      <c r="B242" t="s">
        <v>616</v>
      </c>
      <c r="C242" s="1">
        <v>45785</v>
      </c>
      <c r="D242" t="s">
        <v>80</v>
      </c>
      <c r="E242" t="s">
        <v>72</v>
      </c>
      <c r="F242" t="s">
        <v>324</v>
      </c>
      <c r="G242" t="s">
        <v>16</v>
      </c>
      <c r="H242">
        <v>3</v>
      </c>
      <c r="I242">
        <v>19555.88</v>
      </c>
      <c r="J242">
        <v>0.15</v>
      </c>
      <c r="K242">
        <v>14200</v>
      </c>
      <c r="L242">
        <f>sales[[#This Row],[Quantity]]*sales[[#This Row],[UnitPrice]]</f>
        <v>58667.64</v>
      </c>
      <c r="M242">
        <f>sales[[#This Row],[GrossSales]]*sales[[#This Row],[DiscountRate]]</f>
        <v>8800.1459999999988</v>
      </c>
      <c r="N242">
        <f>sales[[#This Row],[GrossSales]]-sales[[#This Row],[DiscountAmount]]</f>
        <v>49867.493999999999</v>
      </c>
      <c r="O242">
        <f>sales[[#This Row],[Quantity]]*sales[[#This Row],[UnitCostAtSale]]</f>
        <v>42600</v>
      </c>
      <c r="P242">
        <f>sales[[#This Row],[SalesAfterDiscount]]-sales[[#This Row],[CostOfGoodsSold]]</f>
        <v>7267.4939999999988</v>
      </c>
      <c r="Q242">
        <f>IFERROR(sales[[#This Row],[GrossProfit]]/sales[[#This Row],[SalesAfterDiscount]],0)</f>
        <v>0.14573609814842509</v>
      </c>
    </row>
    <row r="243" spans="1:17">
      <c r="A243" t="s">
        <v>617</v>
      </c>
      <c r="B243" t="s">
        <v>618</v>
      </c>
      <c r="C243" s="1">
        <v>46053</v>
      </c>
      <c r="D243" t="s">
        <v>45</v>
      </c>
      <c r="E243" t="s">
        <v>72</v>
      </c>
      <c r="F243" t="s">
        <v>619</v>
      </c>
      <c r="G243" t="s">
        <v>16</v>
      </c>
      <c r="H243">
        <v>3</v>
      </c>
      <c r="I243">
        <v>11889.76</v>
      </c>
      <c r="J243">
        <v>0.05</v>
      </c>
      <c r="K243">
        <v>9300</v>
      </c>
      <c r="L243">
        <f>sales[[#This Row],[Quantity]]*sales[[#This Row],[UnitPrice]]</f>
        <v>35669.279999999999</v>
      </c>
      <c r="M243">
        <f>sales[[#This Row],[GrossSales]]*sales[[#This Row],[DiscountRate]]</f>
        <v>1783.4639999999999</v>
      </c>
      <c r="N243">
        <f>sales[[#This Row],[GrossSales]]-sales[[#This Row],[DiscountAmount]]</f>
        <v>33885.815999999999</v>
      </c>
      <c r="O243">
        <f>sales[[#This Row],[Quantity]]*sales[[#This Row],[UnitCostAtSale]]</f>
        <v>27900</v>
      </c>
      <c r="P243">
        <f>sales[[#This Row],[SalesAfterDiscount]]-sales[[#This Row],[CostOfGoodsSold]]</f>
        <v>5985.8159999999989</v>
      </c>
      <c r="Q243">
        <f>IFERROR(sales[[#This Row],[GrossProfit]]/sales[[#This Row],[SalesAfterDiscount]],0)</f>
        <v>0.17664665357328266</v>
      </c>
    </row>
    <row r="244" spans="1:17">
      <c r="A244" t="s">
        <v>620</v>
      </c>
      <c r="B244" t="s">
        <v>621</v>
      </c>
      <c r="C244" s="1">
        <v>46189</v>
      </c>
      <c r="D244" t="s">
        <v>13</v>
      </c>
      <c r="E244" t="s">
        <v>72</v>
      </c>
      <c r="F244" t="s">
        <v>231</v>
      </c>
      <c r="G244" t="s">
        <v>16</v>
      </c>
      <c r="H244">
        <v>3</v>
      </c>
      <c r="I244">
        <v>6484.94</v>
      </c>
      <c r="J244">
        <v>0</v>
      </c>
      <c r="K244">
        <v>4300</v>
      </c>
      <c r="L244">
        <f>sales[[#This Row],[Quantity]]*sales[[#This Row],[UnitPrice]]</f>
        <v>19454.82</v>
      </c>
      <c r="M244">
        <f>sales[[#This Row],[GrossSales]]*sales[[#This Row],[DiscountRate]]</f>
        <v>0</v>
      </c>
      <c r="N244">
        <f>sales[[#This Row],[GrossSales]]-sales[[#This Row],[DiscountAmount]]</f>
        <v>19454.82</v>
      </c>
      <c r="O244">
        <f>sales[[#This Row],[Quantity]]*sales[[#This Row],[UnitCostAtSale]]</f>
        <v>12900</v>
      </c>
      <c r="P244">
        <f>sales[[#This Row],[SalesAfterDiscount]]-sales[[#This Row],[CostOfGoodsSold]]</f>
        <v>6554.82</v>
      </c>
      <c r="Q244">
        <f>IFERROR(sales[[#This Row],[GrossProfit]]/sales[[#This Row],[SalesAfterDiscount]],0)</f>
        <v>0.3369252452605575</v>
      </c>
    </row>
    <row r="245" spans="1:17">
      <c r="A245" t="s">
        <v>622</v>
      </c>
      <c r="B245" t="s">
        <v>623</v>
      </c>
      <c r="C245" s="1">
        <v>45842</v>
      </c>
      <c r="D245" t="s">
        <v>95</v>
      </c>
      <c r="E245" t="s">
        <v>20</v>
      </c>
      <c r="F245" t="s">
        <v>116</v>
      </c>
      <c r="G245" t="s">
        <v>22</v>
      </c>
      <c r="H245">
        <v>5</v>
      </c>
      <c r="I245">
        <v>12048.66</v>
      </c>
      <c r="J245">
        <v>0.1</v>
      </c>
      <c r="K245">
        <v>9900</v>
      </c>
      <c r="L245">
        <f>sales[[#This Row],[Quantity]]*sales[[#This Row],[UnitPrice]]</f>
        <v>60243.3</v>
      </c>
      <c r="M245">
        <f>sales[[#This Row],[GrossSales]]*sales[[#This Row],[DiscountRate]]</f>
        <v>6024.3300000000008</v>
      </c>
      <c r="N245">
        <f>sales[[#This Row],[GrossSales]]-sales[[#This Row],[DiscountAmount]]</f>
        <v>54218.97</v>
      </c>
      <c r="O245">
        <f>sales[[#This Row],[Quantity]]*sales[[#This Row],[UnitCostAtSale]]</f>
        <v>49500</v>
      </c>
      <c r="P245">
        <f>sales[[#This Row],[SalesAfterDiscount]]-sales[[#This Row],[CostOfGoodsSold]]</f>
        <v>4718.9700000000012</v>
      </c>
      <c r="Q245">
        <f>IFERROR(sales[[#This Row],[GrossProfit]]/sales[[#This Row],[SalesAfterDiscount]],0)</f>
        <v>8.7035404767003152E-2</v>
      </c>
    </row>
    <row r="246" spans="1:17">
      <c r="A246" t="s">
        <v>624</v>
      </c>
      <c r="B246" t="s">
        <v>625</v>
      </c>
      <c r="C246" s="1">
        <v>45960</v>
      </c>
      <c r="D246" t="s">
        <v>286</v>
      </c>
      <c r="E246" t="s">
        <v>46</v>
      </c>
      <c r="F246" t="s">
        <v>626</v>
      </c>
      <c r="G246" t="s">
        <v>16</v>
      </c>
      <c r="H246">
        <v>3</v>
      </c>
      <c r="I246">
        <v>614.66</v>
      </c>
      <c r="J246">
        <v>0.15</v>
      </c>
      <c r="K246">
        <v>400</v>
      </c>
      <c r="L246">
        <f>sales[[#This Row],[Quantity]]*sales[[#This Row],[UnitPrice]]</f>
        <v>1843.98</v>
      </c>
      <c r="M246">
        <f>sales[[#This Row],[GrossSales]]*sales[[#This Row],[DiscountRate]]</f>
        <v>276.59699999999998</v>
      </c>
      <c r="N246">
        <f>sales[[#This Row],[GrossSales]]-sales[[#This Row],[DiscountAmount]]</f>
        <v>1567.383</v>
      </c>
      <c r="O246">
        <f>sales[[#This Row],[Quantity]]*sales[[#This Row],[UnitCostAtSale]]</f>
        <v>1200</v>
      </c>
      <c r="P246">
        <f>sales[[#This Row],[SalesAfterDiscount]]-sales[[#This Row],[CostOfGoodsSold]]</f>
        <v>367.38300000000004</v>
      </c>
      <c r="Q246">
        <f>IFERROR(sales[[#This Row],[GrossProfit]]/sales[[#This Row],[SalesAfterDiscount]],0)</f>
        <v>0.23439261495116384</v>
      </c>
    </row>
    <row r="247" spans="1:17">
      <c r="A247" t="s">
        <v>627</v>
      </c>
      <c r="B247" t="s">
        <v>628</v>
      </c>
      <c r="C247" s="1">
        <v>46112</v>
      </c>
      <c r="D247" t="s">
        <v>313</v>
      </c>
      <c r="E247" t="s">
        <v>14</v>
      </c>
      <c r="F247" t="s">
        <v>471</v>
      </c>
      <c r="G247" t="s">
        <v>16</v>
      </c>
      <c r="H247">
        <v>3</v>
      </c>
      <c r="I247">
        <v>3335.18</v>
      </c>
      <c r="J247">
        <v>0.15</v>
      </c>
      <c r="K247">
        <v>2600</v>
      </c>
      <c r="L247">
        <f>sales[[#This Row],[Quantity]]*sales[[#This Row],[UnitPrice]]</f>
        <v>10005.539999999999</v>
      </c>
      <c r="M247">
        <f>sales[[#This Row],[GrossSales]]*sales[[#This Row],[DiscountRate]]</f>
        <v>1500.8309999999999</v>
      </c>
      <c r="N247">
        <f>sales[[#This Row],[GrossSales]]-sales[[#This Row],[DiscountAmount]]</f>
        <v>8504.7089999999989</v>
      </c>
      <c r="O247">
        <f>sales[[#This Row],[Quantity]]*sales[[#This Row],[UnitCostAtSale]]</f>
        <v>7800</v>
      </c>
      <c r="P247">
        <f>sales[[#This Row],[SalesAfterDiscount]]-sales[[#This Row],[CostOfGoodsSold]]</f>
        <v>704.70899999999892</v>
      </c>
      <c r="Q247">
        <f>IFERROR(sales[[#This Row],[GrossProfit]]/sales[[#This Row],[SalesAfterDiscount]],0)</f>
        <v>8.286103616243648E-2</v>
      </c>
    </row>
    <row r="248" spans="1:17">
      <c r="A248" t="s">
        <v>629</v>
      </c>
      <c r="B248" t="s">
        <v>630</v>
      </c>
      <c r="C248" s="1">
        <v>46103</v>
      </c>
      <c r="D248" t="s">
        <v>95</v>
      </c>
      <c r="E248" t="s">
        <v>14</v>
      </c>
      <c r="F248" t="s">
        <v>113</v>
      </c>
      <c r="G248" t="s">
        <v>16</v>
      </c>
      <c r="H248">
        <v>3</v>
      </c>
      <c r="I248">
        <v>12048.66</v>
      </c>
      <c r="J248">
        <v>0</v>
      </c>
      <c r="K248">
        <v>9900</v>
      </c>
      <c r="L248">
        <f>sales[[#This Row],[Quantity]]*sales[[#This Row],[UnitPrice]]</f>
        <v>36145.979999999996</v>
      </c>
      <c r="M248">
        <f>sales[[#This Row],[GrossSales]]*sales[[#This Row],[DiscountRate]]</f>
        <v>0</v>
      </c>
      <c r="N248">
        <f>sales[[#This Row],[GrossSales]]-sales[[#This Row],[DiscountAmount]]</f>
        <v>36145.979999999996</v>
      </c>
      <c r="O248">
        <f>sales[[#This Row],[Quantity]]*sales[[#This Row],[UnitCostAtSale]]</f>
        <v>29700</v>
      </c>
      <c r="P248">
        <f>sales[[#This Row],[SalesAfterDiscount]]-sales[[#This Row],[CostOfGoodsSold]]</f>
        <v>6445.9799999999959</v>
      </c>
      <c r="Q248">
        <f>IFERROR(sales[[#This Row],[GrossProfit]]/sales[[#This Row],[SalesAfterDiscount]],0)</f>
        <v>0.17833186429030273</v>
      </c>
    </row>
    <row r="249" spans="1:17">
      <c r="A249" t="s">
        <v>631</v>
      </c>
      <c r="B249" t="s">
        <v>632</v>
      </c>
      <c r="C249" s="1">
        <v>46183</v>
      </c>
      <c r="D249" t="s">
        <v>13</v>
      </c>
      <c r="E249" t="s">
        <v>50</v>
      </c>
      <c r="F249" t="s">
        <v>164</v>
      </c>
      <c r="G249" t="s">
        <v>16</v>
      </c>
      <c r="H249">
        <v>2</v>
      </c>
      <c r="I249">
        <v>6484.94</v>
      </c>
      <c r="J249">
        <v>0</v>
      </c>
      <c r="K249">
        <v>4300</v>
      </c>
      <c r="L249">
        <f>sales[[#This Row],[Quantity]]*sales[[#This Row],[UnitPrice]]</f>
        <v>12969.88</v>
      </c>
      <c r="M249">
        <f>sales[[#This Row],[GrossSales]]*sales[[#This Row],[DiscountRate]]</f>
        <v>0</v>
      </c>
      <c r="N249">
        <f>sales[[#This Row],[GrossSales]]-sales[[#This Row],[DiscountAmount]]</f>
        <v>12969.88</v>
      </c>
      <c r="O249">
        <f>sales[[#This Row],[Quantity]]*sales[[#This Row],[UnitCostAtSale]]</f>
        <v>8600</v>
      </c>
      <c r="P249">
        <f>sales[[#This Row],[SalesAfterDiscount]]-sales[[#This Row],[CostOfGoodsSold]]</f>
        <v>4369.8799999999992</v>
      </c>
      <c r="Q249">
        <f>IFERROR(sales[[#This Row],[GrossProfit]]/sales[[#This Row],[SalesAfterDiscount]],0)</f>
        <v>0.3369252452605575</v>
      </c>
    </row>
    <row r="250" spans="1:17">
      <c r="A250" t="s">
        <v>633</v>
      </c>
      <c r="B250" t="s">
        <v>634</v>
      </c>
      <c r="C250" s="1">
        <v>45787</v>
      </c>
      <c r="D250" t="s">
        <v>60</v>
      </c>
      <c r="E250" t="s">
        <v>20</v>
      </c>
      <c r="F250" t="s">
        <v>260</v>
      </c>
      <c r="G250" t="s">
        <v>16</v>
      </c>
      <c r="H250">
        <v>1</v>
      </c>
      <c r="I250">
        <v>9389.4699999999993</v>
      </c>
      <c r="J250">
        <v>0.05</v>
      </c>
      <c r="K250">
        <v>7250</v>
      </c>
      <c r="L250">
        <f>sales[[#This Row],[Quantity]]*sales[[#This Row],[UnitPrice]]</f>
        <v>9389.4699999999993</v>
      </c>
      <c r="M250">
        <f>sales[[#This Row],[GrossSales]]*sales[[#This Row],[DiscountRate]]</f>
        <v>469.4735</v>
      </c>
      <c r="N250">
        <f>sales[[#This Row],[GrossSales]]-sales[[#This Row],[DiscountAmount]]</f>
        <v>8919.9964999999993</v>
      </c>
      <c r="O250">
        <f>sales[[#This Row],[Quantity]]*sales[[#This Row],[UnitCostAtSale]]</f>
        <v>7250</v>
      </c>
      <c r="P250">
        <f>sales[[#This Row],[SalesAfterDiscount]]-sales[[#This Row],[CostOfGoodsSold]]</f>
        <v>1669.9964999999993</v>
      </c>
      <c r="Q250">
        <f>IFERROR(sales[[#This Row],[GrossProfit]]/sales[[#This Row],[SalesAfterDiscount]],0)</f>
        <v>0.18721941202555398</v>
      </c>
    </row>
    <row r="251" spans="1:17">
      <c r="A251" t="s">
        <v>635</v>
      </c>
      <c r="B251" t="s">
        <v>636</v>
      </c>
      <c r="C251" s="1">
        <v>45691</v>
      </c>
      <c r="D251" t="s">
        <v>41</v>
      </c>
      <c r="E251" t="s">
        <v>72</v>
      </c>
      <c r="F251" t="s">
        <v>535</v>
      </c>
      <c r="G251" t="s">
        <v>16</v>
      </c>
      <c r="H251">
        <v>5</v>
      </c>
      <c r="I251">
        <v>17279.419999999998</v>
      </c>
      <c r="J251">
        <v>0.05</v>
      </c>
      <c r="K251">
        <v>13950</v>
      </c>
      <c r="L251">
        <f>sales[[#This Row],[Quantity]]*sales[[#This Row],[UnitPrice]]</f>
        <v>86397.099999999991</v>
      </c>
      <c r="M251">
        <f>sales[[#This Row],[GrossSales]]*sales[[#This Row],[DiscountRate]]</f>
        <v>4319.8549999999996</v>
      </c>
      <c r="N251">
        <f>sales[[#This Row],[GrossSales]]-sales[[#This Row],[DiscountAmount]]</f>
        <v>82077.244999999995</v>
      </c>
      <c r="O251">
        <f>sales[[#This Row],[Quantity]]*sales[[#This Row],[UnitCostAtSale]]</f>
        <v>69750</v>
      </c>
      <c r="P251">
        <f>sales[[#This Row],[SalesAfterDiscount]]-sales[[#This Row],[CostOfGoodsSold]]</f>
        <v>12327.244999999995</v>
      </c>
      <c r="Q251">
        <f>IFERROR(sales[[#This Row],[GrossProfit]]/sales[[#This Row],[SalesAfterDiscount]],0)</f>
        <v>0.15019077455633406</v>
      </c>
    </row>
    <row r="252" spans="1:17">
      <c r="A252" t="s">
        <v>637</v>
      </c>
      <c r="B252" t="s">
        <v>638</v>
      </c>
      <c r="C252" s="1">
        <v>45736</v>
      </c>
      <c r="D252" t="s">
        <v>112</v>
      </c>
      <c r="E252" t="s">
        <v>46</v>
      </c>
      <c r="F252" t="s">
        <v>260</v>
      </c>
      <c r="G252" t="s">
        <v>16</v>
      </c>
      <c r="H252">
        <v>5</v>
      </c>
      <c r="I252">
        <v>10868.14</v>
      </c>
      <c r="J252">
        <v>0.05</v>
      </c>
      <c r="K252">
        <v>8850</v>
      </c>
      <c r="L252">
        <f>sales[[#This Row],[Quantity]]*sales[[#This Row],[UnitPrice]]</f>
        <v>54340.7</v>
      </c>
      <c r="M252">
        <f>sales[[#This Row],[GrossSales]]*sales[[#This Row],[DiscountRate]]</f>
        <v>2717.0349999999999</v>
      </c>
      <c r="N252">
        <f>sales[[#This Row],[GrossSales]]-sales[[#This Row],[DiscountAmount]]</f>
        <v>51623.664999999994</v>
      </c>
      <c r="O252">
        <f>sales[[#This Row],[Quantity]]*sales[[#This Row],[UnitCostAtSale]]</f>
        <v>44250</v>
      </c>
      <c r="P252">
        <f>sales[[#This Row],[SalesAfterDiscount]]-sales[[#This Row],[CostOfGoodsSold]]</f>
        <v>7373.6649999999936</v>
      </c>
      <c r="Q252">
        <f>IFERROR(sales[[#This Row],[GrossProfit]]/sales[[#This Row],[SalesAfterDiscount]],0)</f>
        <v>0.14283497694322933</v>
      </c>
    </row>
    <row r="253" spans="1:17">
      <c r="A253" t="s">
        <v>639</v>
      </c>
      <c r="B253" t="s">
        <v>640</v>
      </c>
      <c r="C253" s="1">
        <v>45943</v>
      </c>
      <c r="D253" t="s">
        <v>286</v>
      </c>
      <c r="E253" t="s">
        <v>14</v>
      </c>
      <c r="F253" t="s">
        <v>329</v>
      </c>
      <c r="G253" t="s">
        <v>22</v>
      </c>
      <c r="H253">
        <v>2</v>
      </c>
      <c r="I253">
        <v>614.66</v>
      </c>
      <c r="J253">
        <v>0</v>
      </c>
      <c r="K253">
        <v>400</v>
      </c>
      <c r="L253">
        <f>sales[[#This Row],[Quantity]]*sales[[#This Row],[UnitPrice]]</f>
        <v>1229.32</v>
      </c>
      <c r="M253">
        <f>sales[[#This Row],[GrossSales]]*sales[[#This Row],[DiscountRate]]</f>
        <v>0</v>
      </c>
      <c r="N253">
        <f>sales[[#This Row],[GrossSales]]-sales[[#This Row],[DiscountAmount]]</f>
        <v>1229.32</v>
      </c>
      <c r="O253">
        <f>sales[[#This Row],[Quantity]]*sales[[#This Row],[UnitCostAtSale]]</f>
        <v>800</v>
      </c>
      <c r="P253">
        <f>sales[[#This Row],[SalesAfterDiscount]]-sales[[#This Row],[CostOfGoodsSold]]</f>
        <v>429.31999999999994</v>
      </c>
      <c r="Q253">
        <f>IFERROR(sales[[#This Row],[GrossProfit]]/sales[[#This Row],[SalesAfterDiscount]],0)</f>
        <v>0.34923372270848924</v>
      </c>
    </row>
    <row r="254" spans="1:17">
      <c r="A254" t="s">
        <v>641</v>
      </c>
      <c r="B254" t="s">
        <v>642</v>
      </c>
      <c r="C254" s="1">
        <v>46188</v>
      </c>
      <c r="D254" t="s">
        <v>19</v>
      </c>
      <c r="E254" t="s">
        <v>14</v>
      </c>
      <c r="F254" t="s">
        <v>100</v>
      </c>
      <c r="G254" t="s">
        <v>16</v>
      </c>
      <c r="H254">
        <v>4</v>
      </c>
      <c r="I254">
        <v>12193.29</v>
      </c>
      <c r="J254">
        <v>0.2</v>
      </c>
      <c r="K254">
        <v>9950</v>
      </c>
      <c r="L254">
        <f>sales[[#This Row],[Quantity]]*sales[[#This Row],[UnitPrice]]</f>
        <v>48773.16</v>
      </c>
      <c r="M254">
        <f>sales[[#This Row],[GrossSales]]*sales[[#This Row],[DiscountRate]]</f>
        <v>9754.6320000000014</v>
      </c>
      <c r="N254">
        <f>sales[[#This Row],[GrossSales]]-sales[[#This Row],[DiscountAmount]]</f>
        <v>39018.528000000006</v>
      </c>
      <c r="O254">
        <f>sales[[#This Row],[Quantity]]*sales[[#This Row],[UnitCostAtSale]]</f>
        <v>39800</v>
      </c>
      <c r="P254">
        <f>sales[[#This Row],[SalesAfterDiscount]]-sales[[#This Row],[CostOfGoodsSold]]</f>
        <v>-781.4719999999943</v>
      </c>
      <c r="Q254">
        <f>IFERROR(sales[[#This Row],[GrossProfit]]/sales[[#This Row],[SalesAfterDiscount]],0)</f>
        <v>-2.0028228640506227E-2</v>
      </c>
    </row>
    <row r="255" spans="1:17">
      <c r="A255" t="s">
        <v>643</v>
      </c>
      <c r="B255" t="s">
        <v>644</v>
      </c>
      <c r="C255" s="1">
        <v>46114</v>
      </c>
      <c r="D255" t="s">
        <v>175</v>
      </c>
      <c r="E255" t="s">
        <v>20</v>
      </c>
      <c r="F255" t="s">
        <v>619</v>
      </c>
      <c r="G255" t="s">
        <v>16</v>
      </c>
      <c r="H255">
        <v>2</v>
      </c>
      <c r="I255">
        <v>2403.0700000000002</v>
      </c>
      <c r="J255">
        <v>0.2</v>
      </c>
      <c r="K255">
        <v>2000</v>
      </c>
      <c r="L255">
        <f>sales[[#This Row],[Quantity]]*sales[[#This Row],[UnitPrice]]</f>
        <v>4806.1400000000003</v>
      </c>
      <c r="M255">
        <f>sales[[#This Row],[GrossSales]]*sales[[#This Row],[DiscountRate]]</f>
        <v>961.22800000000007</v>
      </c>
      <c r="N255">
        <f>sales[[#This Row],[GrossSales]]-sales[[#This Row],[DiscountAmount]]</f>
        <v>3844.9120000000003</v>
      </c>
      <c r="O255">
        <f>sales[[#This Row],[Quantity]]*sales[[#This Row],[UnitCostAtSale]]</f>
        <v>4000</v>
      </c>
      <c r="P255">
        <f>sales[[#This Row],[SalesAfterDiscount]]-sales[[#This Row],[CostOfGoodsSold]]</f>
        <v>-155.08799999999974</v>
      </c>
      <c r="Q255">
        <f>IFERROR(sales[[#This Row],[GrossProfit]]/sales[[#This Row],[SalesAfterDiscount]],0)</f>
        <v>-4.0335903656572566E-2</v>
      </c>
    </row>
    <row r="256" spans="1:17">
      <c r="A256" t="s">
        <v>645</v>
      </c>
      <c r="B256" t="s">
        <v>646</v>
      </c>
      <c r="C256" s="1">
        <v>45783</v>
      </c>
      <c r="D256" t="s">
        <v>33</v>
      </c>
      <c r="E256" t="s">
        <v>72</v>
      </c>
      <c r="F256" t="s">
        <v>196</v>
      </c>
      <c r="G256" t="s">
        <v>16</v>
      </c>
      <c r="H256">
        <v>2</v>
      </c>
      <c r="I256">
        <v>19237.78</v>
      </c>
      <c r="J256">
        <v>0</v>
      </c>
      <c r="K256">
        <v>13150</v>
      </c>
      <c r="L256">
        <f>sales[[#This Row],[Quantity]]*sales[[#This Row],[UnitPrice]]</f>
        <v>38475.56</v>
      </c>
      <c r="M256">
        <f>sales[[#This Row],[GrossSales]]*sales[[#This Row],[DiscountRate]]</f>
        <v>0</v>
      </c>
      <c r="N256">
        <f>sales[[#This Row],[GrossSales]]-sales[[#This Row],[DiscountAmount]]</f>
        <v>38475.56</v>
      </c>
      <c r="O256">
        <f>sales[[#This Row],[Quantity]]*sales[[#This Row],[UnitCostAtSale]]</f>
        <v>26300</v>
      </c>
      <c r="P256">
        <f>sales[[#This Row],[SalesAfterDiscount]]-sales[[#This Row],[CostOfGoodsSold]]</f>
        <v>12175.559999999998</v>
      </c>
      <c r="Q256">
        <f>IFERROR(sales[[#This Row],[GrossProfit]]/sales[[#This Row],[SalesAfterDiscount]],0)</f>
        <v>0.31644919528136817</v>
      </c>
    </row>
    <row r="257" spans="1:17">
      <c r="A257" t="s">
        <v>647</v>
      </c>
      <c r="B257" t="s">
        <v>648</v>
      </c>
      <c r="C257" s="1">
        <v>45985</v>
      </c>
      <c r="D257" t="s">
        <v>71</v>
      </c>
      <c r="E257" t="s">
        <v>46</v>
      </c>
      <c r="F257" t="s">
        <v>134</v>
      </c>
      <c r="G257" t="s">
        <v>16</v>
      </c>
      <c r="H257">
        <v>3</v>
      </c>
      <c r="I257">
        <v>5799.34</v>
      </c>
      <c r="J257">
        <v>0</v>
      </c>
      <c r="K257">
        <v>3800</v>
      </c>
      <c r="L257">
        <f>sales[[#This Row],[Quantity]]*sales[[#This Row],[UnitPrice]]</f>
        <v>17398.02</v>
      </c>
      <c r="M257">
        <f>sales[[#This Row],[GrossSales]]*sales[[#This Row],[DiscountRate]]</f>
        <v>0</v>
      </c>
      <c r="N257">
        <f>sales[[#This Row],[GrossSales]]-sales[[#This Row],[DiscountAmount]]</f>
        <v>17398.02</v>
      </c>
      <c r="O257">
        <f>sales[[#This Row],[Quantity]]*sales[[#This Row],[UnitCostAtSale]]</f>
        <v>11400</v>
      </c>
      <c r="P257">
        <f>sales[[#This Row],[SalesAfterDiscount]]-sales[[#This Row],[CostOfGoodsSold]]</f>
        <v>5998.02</v>
      </c>
      <c r="Q257">
        <f>IFERROR(sales[[#This Row],[GrossProfit]]/sales[[#This Row],[SalesAfterDiscount]],0)</f>
        <v>0.34475302361992916</v>
      </c>
    </row>
    <row r="258" spans="1:17">
      <c r="A258" t="s">
        <v>649</v>
      </c>
      <c r="B258" t="s">
        <v>650</v>
      </c>
      <c r="C258" s="1">
        <v>45965</v>
      </c>
      <c r="D258" t="s">
        <v>45</v>
      </c>
      <c r="E258" t="s">
        <v>20</v>
      </c>
      <c r="F258" t="s">
        <v>651</v>
      </c>
      <c r="G258" t="s">
        <v>22</v>
      </c>
      <c r="H258">
        <v>2</v>
      </c>
      <c r="I258">
        <v>11889.76</v>
      </c>
      <c r="J258">
        <v>0.05</v>
      </c>
      <c r="K258">
        <v>9300</v>
      </c>
      <c r="L258">
        <f>sales[[#This Row],[Quantity]]*sales[[#This Row],[UnitPrice]]</f>
        <v>23779.52</v>
      </c>
      <c r="M258">
        <f>sales[[#This Row],[GrossSales]]*sales[[#This Row],[DiscountRate]]</f>
        <v>1188.9760000000001</v>
      </c>
      <c r="N258">
        <f>sales[[#This Row],[GrossSales]]-sales[[#This Row],[DiscountAmount]]</f>
        <v>22590.544000000002</v>
      </c>
      <c r="O258">
        <f>sales[[#This Row],[Quantity]]*sales[[#This Row],[UnitCostAtSale]]</f>
        <v>18600</v>
      </c>
      <c r="P258">
        <f>sales[[#This Row],[SalesAfterDiscount]]-sales[[#This Row],[CostOfGoodsSold]]</f>
        <v>3990.5440000000017</v>
      </c>
      <c r="Q258">
        <f>IFERROR(sales[[#This Row],[GrossProfit]]/sales[[#This Row],[SalesAfterDiscount]],0)</f>
        <v>0.17664665357328277</v>
      </c>
    </row>
    <row r="259" spans="1:17">
      <c r="A259" t="s">
        <v>652</v>
      </c>
      <c r="B259" t="s">
        <v>653</v>
      </c>
      <c r="C259" s="1">
        <v>45863</v>
      </c>
      <c r="D259" t="s">
        <v>37</v>
      </c>
      <c r="E259" t="s">
        <v>72</v>
      </c>
      <c r="F259" t="s">
        <v>145</v>
      </c>
      <c r="G259" t="s">
        <v>16</v>
      </c>
      <c r="H259">
        <v>2</v>
      </c>
      <c r="I259">
        <v>17336.23</v>
      </c>
      <c r="J259">
        <v>0.05</v>
      </c>
      <c r="K259">
        <v>14200</v>
      </c>
      <c r="L259">
        <f>sales[[#This Row],[Quantity]]*sales[[#This Row],[UnitPrice]]</f>
        <v>34672.46</v>
      </c>
      <c r="M259">
        <f>sales[[#This Row],[GrossSales]]*sales[[#This Row],[DiscountRate]]</f>
        <v>1733.623</v>
      </c>
      <c r="N259">
        <f>sales[[#This Row],[GrossSales]]-sales[[#This Row],[DiscountAmount]]</f>
        <v>32938.837</v>
      </c>
      <c r="O259">
        <f>sales[[#This Row],[Quantity]]*sales[[#This Row],[UnitCostAtSale]]</f>
        <v>28400</v>
      </c>
      <c r="P259">
        <f>sales[[#This Row],[SalesAfterDiscount]]-sales[[#This Row],[CostOfGoodsSold]]</f>
        <v>4538.8369999999995</v>
      </c>
      <c r="Q259">
        <f>IFERROR(sales[[#This Row],[GrossProfit]]/sales[[#This Row],[SalesAfterDiscount]],0)</f>
        <v>0.13779590943056064</v>
      </c>
    </row>
    <row r="260" spans="1:17">
      <c r="A260" t="s">
        <v>654</v>
      </c>
      <c r="B260" t="s">
        <v>655</v>
      </c>
      <c r="C260" s="1">
        <v>46035</v>
      </c>
      <c r="D260" t="s">
        <v>64</v>
      </c>
      <c r="E260" t="s">
        <v>50</v>
      </c>
      <c r="F260" t="s">
        <v>388</v>
      </c>
      <c r="G260" t="s">
        <v>22</v>
      </c>
      <c r="H260">
        <v>4</v>
      </c>
      <c r="I260">
        <v>2056.0100000000002</v>
      </c>
      <c r="J260">
        <v>0.2</v>
      </c>
      <c r="K260">
        <v>1350</v>
      </c>
      <c r="L260">
        <f>sales[[#This Row],[Quantity]]*sales[[#This Row],[UnitPrice]]</f>
        <v>8224.0400000000009</v>
      </c>
      <c r="M260">
        <f>sales[[#This Row],[GrossSales]]*sales[[#This Row],[DiscountRate]]</f>
        <v>1644.8080000000002</v>
      </c>
      <c r="N260">
        <f>sales[[#This Row],[GrossSales]]-sales[[#This Row],[DiscountAmount]]</f>
        <v>6579.2320000000009</v>
      </c>
      <c r="O260">
        <f>sales[[#This Row],[Quantity]]*sales[[#This Row],[UnitCostAtSale]]</f>
        <v>5400</v>
      </c>
      <c r="P260">
        <f>sales[[#This Row],[SalesAfterDiscount]]-sales[[#This Row],[CostOfGoodsSold]]</f>
        <v>1179.2320000000009</v>
      </c>
      <c r="Q260">
        <f>IFERROR(sales[[#This Row],[GrossProfit]]/sales[[#This Row],[SalesAfterDiscount]],0)</f>
        <v>0.17923550955491471</v>
      </c>
    </row>
    <row r="261" spans="1:17">
      <c r="A261" t="s">
        <v>656</v>
      </c>
      <c r="B261" t="s">
        <v>657</v>
      </c>
      <c r="C261" s="1">
        <v>45974</v>
      </c>
      <c r="D261" t="s">
        <v>71</v>
      </c>
      <c r="E261" t="s">
        <v>46</v>
      </c>
      <c r="F261" t="s">
        <v>658</v>
      </c>
      <c r="G261" t="s">
        <v>16</v>
      </c>
      <c r="H261">
        <v>4</v>
      </c>
      <c r="I261">
        <v>5799.34</v>
      </c>
      <c r="J261">
        <v>0.15</v>
      </c>
      <c r="K261">
        <v>3800</v>
      </c>
      <c r="L261">
        <f>sales[[#This Row],[Quantity]]*sales[[#This Row],[UnitPrice]]</f>
        <v>23197.360000000001</v>
      </c>
      <c r="M261">
        <f>sales[[#This Row],[GrossSales]]*sales[[#This Row],[DiscountRate]]</f>
        <v>3479.6039999999998</v>
      </c>
      <c r="N261">
        <f>sales[[#This Row],[GrossSales]]-sales[[#This Row],[DiscountAmount]]</f>
        <v>19717.756000000001</v>
      </c>
      <c r="O261">
        <f>sales[[#This Row],[Quantity]]*sales[[#This Row],[UnitCostAtSale]]</f>
        <v>15200</v>
      </c>
      <c r="P261">
        <f>sales[[#This Row],[SalesAfterDiscount]]-sales[[#This Row],[CostOfGoodsSold]]</f>
        <v>4517.7560000000012</v>
      </c>
      <c r="Q261">
        <f>IFERROR(sales[[#This Row],[GrossProfit]]/sales[[#This Row],[SalesAfterDiscount]],0)</f>
        <v>0.22912120425874025</v>
      </c>
    </row>
    <row r="262" spans="1:17">
      <c r="A262" t="s">
        <v>659</v>
      </c>
      <c r="B262" t="s">
        <v>660</v>
      </c>
      <c r="C262" s="1">
        <v>45733</v>
      </c>
      <c r="D262" t="s">
        <v>126</v>
      </c>
      <c r="E262" t="s">
        <v>14</v>
      </c>
      <c r="F262" t="s">
        <v>468</v>
      </c>
      <c r="G262" t="s">
        <v>16</v>
      </c>
      <c r="H262">
        <v>2</v>
      </c>
      <c r="I262">
        <v>17523.439999999999</v>
      </c>
      <c r="J262">
        <v>0.1</v>
      </c>
      <c r="K262">
        <v>11850</v>
      </c>
      <c r="L262">
        <f>sales[[#This Row],[Quantity]]*sales[[#This Row],[UnitPrice]]</f>
        <v>35046.879999999997</v>
      </c>
      <c r="M262">
        <f>sales[[#This Row],[GrossSales]]*sales[[#This Row],[DiscountRate]]</f>
        <v>3504.6880000000001</v>
      </c>
      <c r="N262">
        <f>sales[[#This Row],[GrossSales]]-sales[[#This Row],[DiscountAmount]]</f>
        <v>31542.191999999995</v>
      </c>
      <c r="O262">
        <f>sales[[#This Row],[Quantity]]*sales[[#This Row],[UnitCostAtSale]]</f>
        <v>23700</v>
      </c>
      <c r="P262">
        <f>sales[[#This Row],[SalesAfterDiscount]]-sales[[#This Row],[CostOfGoodsSold]]</f>
        <v>7842.1919999999955</v>
      </c>
      <c r="Q262">
        <f>IFERROR(sales[[#This Row],[GrossProfit]]/sales[[#This Row],[SalesAfterDiscount]],0)</f>
        <v>0.24862546014557252</v>
      </c>
    </row>
    <row r="263" spans="1:17">
      <c r="A263" t="s">
        <v>661</v>
      </c>
      <c r="B263" t="s">
        <v>662</v>
      </c>
      <c r="C263" s="1">
        <v>46187</v>
      </c>
      <c r="D263" t="s">
        <v>49</v>
      </c>
      <c r="E263" t="s">
        <v>46</v>
      </c>
      <c r="F263" t="s">
        <v>123</v>
      </c>
      <c r="G263" t="s">
        <v>22</v>
      </c>
      <c r="H263">
        <v>3</v>
      </c>
      <c r="I263">
        <v>13787.88</v>
      </c>
      <c r="J263">
        <v>0.05</v>
      </c>
      <c r="K263">
        <v>9500</v>
      </c>
      <c r="L263">
        <f>sales[[#This Row],[Quantity]]*sales[[#This Row],[UnitPrice]]</f>
        <v>41363.64</v>
      </c>
      <c r="M263">
        <f>sales[[#This Row],[GrossSales]]*sales[[#This Row],[DiscountRate]]</f>
        <v>2068.1820000000002</v>
      </c>
      <c r="N263">
        <f>sales[[#This Row],[GrossSales]]-sales[[#This Row],[DiscountAmount]]</f>
        <v>39295.457999999999</v>
      </c>
      <c r="O263">
        <f>sales[[#This Row],[Quantity]]*sales[[#This Row],[UnitCostAtSale]]</f>
        <v>28500</v>
      </c>
      <c r="P263">
        <f>sales[[#This Row],[SalesAfterDiscount]]-sales[[#This Row],[CostOfGoodsSold]]</f>
        <v>10795.457999999999</v>
      </c>
      <c r="Q263">
        <f>IFERROR(sales[[#This Row],[GrossProfit]]/sales[[#This Row],[SalesAfterDiscount]],0)</f>
        <v>0.27472533848568448</v>
      </c>
    </row>
    <row r="264" spans="1:17">
      <c r="A264" t="s">
        <v>663</v>
      </c>
      <c r="B264" t="s">
        <v>664</v>
      </c>
      <c r="C264" s="1">
        <v>45790</v>
      </c>
      <c r="D264" t="s">
        <v>202</v>
      </c>
      <c r="E264" t="s">
        <v>14</v>
      </c>
      <c r="F264" t="s">
        <v>577</v>
      </c>
      <c r="G264" t="s">
        <v>22</v>
      </c>
      <c r="H264">
        <v>4</v>
      </c>
      <c r="I264">
        <v>3559.5</v>
      </c>
      <c r="J264">
        <v>0.2</v>
      </c>
      <c r="K264">
        <v>2250</v>
      </c>
      <c r="L264">
        <f>sales[[#This Row],[Quantity]]*sales[[#This Row],[UnitPrice]]</f>
        <v>14238</v>
      </c>
      <c r="M264">
        <f>sales[[#This Row],[GrossSales]]*sales[[#This Row],[DiscountRate]]</f>
        <v>2847.6000000000004</v>
      </c>
      <c r="N264">
        <f>sales[[#This Row],[GrossSales]]-sales[[#This Row],[DiscountAmount]]</f>
        <v>11390.4</v>
      </c>
      <c r="O264">
        <f>sales[[#This Row],[Quantity]]*sales[[#This Row],[UnitCostAtSale]]</f>
        <v>9000</v>
      </c>
      <c r="P264">
        <f>sales[[#This Row],[SalesAfterDiscount]]-sales[[#This Row],[CostOfGoodsSold]]</f>
        <v>2390.3999999999996</v>
      </c>
      <c r="Q264">
        <f>IFERROR(sales[[#This Row],[GrossProfit]]/sales[[#This Row],[SalesAfterDiscount]],0)</f>
        <v>0.20986093552465232</v>
      </c>
    </row>
    <row r="265" spans="1:17">
      <c r="A265" t="s">
        <v>665</v>
      </c>
      <c r="B265" t="s">
        <v>666</v>
      </c>
      <c r="C265" s="1">
        <v>45826</v>
      </c>
      <c r="D265" t="s">
        <v>155</v>
      </c>
      <c r="E265" t="s">
        <v>50</v>
      </c>
      <c r="F265" t="s">
        <v>364</v>
      </c>
      <c r="G265" t="s">
        <v>16</v>
      </c>
      <c r="H265">
        <v>2</v>
      </c>
      <c r="I265">
        <v>17046.37</v>
      </c>
      <c r="J265">
        <v>0.1</v>
      </c>
      <c r="K265">
        <v>11700</v>
      </c>
      <c r="L265">
        <f>sales[[#This Row],[Quantity]]*sales[[#This Row],[UnitPrice]]</f>
        <v>34092.74</v>
      </c>
      <c r="M265">
        <f>sales[[#This Row],[GrossSales]]*sales[[#This Row],[DiscountRate]]</f>
        <v>3409.2739999999999</v>
      </c>
      <c r="N265">
        <f>sales[[#This Row],[GrossSales]]-sales[[#This Row],[DiscountAmount]]</f>
        <v>30683.465999999997</v>
      </c>
      <c r="O265">
        <f>sales[[#This Row],[Quantity]]*sales[[#This Row],[UnitCostAtSale]]</f>
        <v>23400</v>
      </c>
      <c r="P265">
        <f>sales[[#This Row],[SalesAfterDiscount]]-sales[[#This Row],[CostOfGoodsSold]]</f>
        <v>7283.4659999999967</v>
      </c>
      <c r="Q265">
        <f>IFERROR(sales[[#This Row],[GrossProfit]]/sales[[#This Row],[SalesAfterDiscount]],0)</f>
        <v>0.23737429141805549</v>
      </c>
    </row>
    <row r="266" spans="1:17">
      <c r="A266" t="s">
        <v>667</v>
      </c>
      <c r="B266" t="s">
        <v>668</v>
      </c>
      <c r="C266" s="1">
        <v>45738</v>
      </c>
      <c r="D266" t="s">
        <v>76</v>
      </c>
      <c r="E266" t="s">
        <v>46</v>
      </c>
      <c r="F266" t="s">
        <v>65</v>
      </c>
      <c r="G266" t="s">
        <v>22</v>
      </c>
      <c r="H266">
        <v>3</v>
      </c>
      <c r="I266">
        <v>11999.07</v>
      </c>
      <c r="J266">
        <v>0.05</v>
      </c>
      <c r="K266">
        <v>9550</v>
      </c>
      <c r="L266">
        <f>sales[[#This Row],[Quantity]]*sales[[#This Row],[UnitPrice]]</f>
        <v>35997.21</v>
      </c>
      <c r="M266">
        <f>sales[[#This Row],[GrossSales]]*sales[[#This Row],[DiscountRate]]</f>
        <v>1799.8605</v>
      </c>
      <c r="N266">
        <f>sales[[#This Row],[GrossSales]]-sales[[#This Row],[DiscountAmount]]</f>
        <v>34197.349499999997</v>
      </c>
      <c r="O266">
        <f>sales[[#This Row],[Quantity]]*sales[[#This Row],[UnitCostAtSale]]</f>
        <v>28650</v>
      </c>
      <c r="P266">
        <f>sales[[#This Row],[SalesAfterDiscount]]-sales[[#This Row],[CostOfGoodsSold]]</f>
        <v>5547.3494999999966</v>
      </c>
      <c r="Q266">
        <f>IFERROR(sales[[#This Row],[GrossProfit]]/sales[[#This Row],[SalesAfterDiscount]],0)</f>
        <v>0.16221577347683033</v>
      </c>
    </row>
    <row r="267" spans="1:17">
      <c r="A267" t="s">
        <v>669</v>
      </c>
      <c r="B267" t="s">
        <v>670</v>
      </c>
      <c r="C267" s="1">
        <v>45968</v>
      </c>
      <c r="D267" t="s">
        <v>130</v>
      </c>
      <c r="E267" t="s">
        <v>14</v>
      </c>
      <c r="F267" t="s">
        <v>106</v>
      </c>
      <c r="G267" t="s">
        <v>22</v>
      </c>
      <c r="H267">
        <v>5</v>
      </c>
      <c r="I267">
        <v>12166.11</v>
      </c>
      <c r="J267">
        <v>0.2</v>
      </c>
      <c r="K267">
        <v>7750</v>
      </c>
      <c r="L267">
        <f>sales[[#This Row],[Quantity]]*sales[[#This Row],[UnitPrice]]</f>
        <v>60830.55</v>
      </c>
      <c r="M267">
        <f>sales[[#This Row],[GrossSales]]*sales[[#This Row],[DiscountRate]]</f>
        <v>12166.11</v>
      </c>
      <c r="N267">
        <f>sales[[#This Row],[GrossSales]]-sales[[#This Row],[DiscountAmount]]</f>
        <v>48664.44</v>
      </c>
      <c r="O267">
        <f>sales[[#This Row],[Quantity]]*sales[[#This Row],[UnitCostAtSale]]</f>
        <v>38750</v>
      </c>
      <c r="P267">
        <f>sales[[#This Row],[SalesAfterDiscount]]-sales[[#This Row],[CostOfGoodsSold]]</f>
        <v>9914.4400000000023</v>
      </c>
      <c r="Q267">
        <f>IFERROR(sales[[#This Row],[GrossProfit]]/sales[[#This Row],[SalesAfterDiscount]],0)</f>
        <v>0.2037306912398458</v>
      </c>
    </row>
    <row r="268" spans="1:17">
      <c r="A268" t="s">
        <v>671</v>
      </c>
      <c r="B268" t="s">
        <v>672</v>
      </c>
      <c r="C268" s="1">
        <v>45815</v>
      </c>
      <c r="D268" t="s">
        <v>41</v>
      </c>
      <c r="E268" t="s">
        <v>46</v>
      </c>
      <c r="F268" t="s">
        <v>542</v>
      </c>
      <c r="G268" t="s">
        <v>22</v>
      </c>
      <c r="H268">
        <v>2</v>
      </c>
      <c r="I268">
        <v>17279.419999999998</v>
      </c>
      <c r="J268">
        <v>0.2</v>
      </c>
      <c r="K268">
        <v>13950</v>
      </c>
      <c r="L268">
        <f>sales[[#This Row],[Quantity]]*sales[[#This Row],[UnitPrice]]</f>
        <v>34558.839999999997</v>
      </c>
      <c r="M268">
        <f>sales[[#This Row],[GrossSales]]*sales[[#This Row],[DiscountRate]]</f>
        <v>6911.768</v>
      </c>
      <c r="N268">
        <f>sales[[#This Row],[GrossSales]]-sales[[#This Row],[DiscountAmount]]</f>
        <v>27647.071999999996</v>
      </c>
      <c r="O268">
        <f>sales[[#This Row],[Quantity]]*sales[[#This Row],[UnitCostAtSale]]</f>
        <v>27900</v>
      </c>
      <c r="P268">
        <f>sales[[#This Row],[SalesAfterDiscount]]-sales[[#This Row],[CostOfGoodsSold]]</f>
        <v>-252.92800000000352</v>
      </c>
      <c r="Q268">
        <f>IFERROR(sales[[#This Row],[GrossProfit]]/sales[[#This Row],[SalesAfterDiscount]],0)</f>
        <v>-9.1484552143533873E-3</v>
      </c>
    </row>
    <row r="269" spans="1:17">
      <c r="A269" t="s">
        <v>673</v>
      </c>
      <c r="B269" t="s">
        <v>674</v>
      </c>
      <c r="C269" s="1">
        <v>45687</v>
      </c>
      <c r="D269" t="s">
        <v>126</v>
      </c>
      <c r="E269" t="s">
        <v>46</v>
      </c>
      <c r="F269" t="s">
        <v>100</v>
      </c>
      <c r="G269" t="s">
        <v>22</v>
      </c>
      <c r="H269">
        <v>1</v>
      </c>
      <c r="I269">
        <v>17523.439999999999</v>
      </c>
      <c r="J269">
        <v>0</v>
      </c>
      <c r="K269">
        <v>11850</v>
      </c>
      <c r="L269">
        <f>sales[[#This Row],[Quantity]]*sales[[#This Row],[UnitPrice]]</f>
        <v>17523.439999999999</v>
      </c>
      <c r="M269">
        <f>sales[[#This Row],[GrossSales]]*sales[[#This Row],[DiscountRate]]</f>
        <v>0</v>
      </c>
      <c r="N269">
        <f>sales[[#This Row],[GrossSales]]-sales[[#This Row],[DiscountAmount]]</f>
        <v>17523.439999999999</v>
      </c>
      <c r="O269">
        <f>sales[[#This Row],[Quantity]]*sales[[#This Row],[UnitCostAtSale]]</f>
        <v>11850</v>
      </c>
      <c r="P269">
        <f>sales[[#This Row],[SalesAfterDiscount]]-sales[[#This Row],[CostOfGoodsSold]]</f>
        <v>5673.4399999999987</v>
      </c>
      <c r="Q269">
        <f>IFERROR(sales[[#This Row],[GrossProfit]]/sales[[#This Row],[SalesAfterDiscount]],0)</f>
        <v>0.32376291413101532</v>
      </c>
    </row>
    <row r="270" spans="1:17">
      <c r="A270" t="s">
        <v>675</v>
      </c>
      <c r="B270" t="s">
        <v>676</v>
      </c>
      <c r="C270" s="1">
        <v>46084</v>
      </c>
      <c r="D270" t="s">
        <v>202</v>
      </c>
      <c r="E270" t="s">
        <v>72</v>
      </c>
      <c r="F270" t="s">
        <v>677</v>
      </c>
      <c r="G270" t="s">
        <v>16</v>
      </c>
      <c r="H270">
        <v>5</v>
      </c>
      <c r="I270">
        <v>3559.5</v>
      </c>
      <c r="J270">
        <v>0</v>
      </c>
      <c r="K270">
        <v>2250</v>
      </c>
      <c r="L270">
        <f>sales[[#This Row],[Quantity]]*sales[[#This Row],[UnitPrice]]</f>
        <v>17797.5</v>
      </c>
      <c r="M270">
        <f>sales[[#This Row],[GrossSales]]*sales[[#This Row],[DiscountRate]]</f>
        <v>0</v>
      </c>
      <c r="N270">
        <f>sales[[#This Row],[GrossSales]]-sales[[#This Row],[DiscountAmount]]</f>
        <v>17797.5</v>
      </c>
      <c r="O270">
        <f>sales[[#This Row],[Quantity]]*sales[[#This Row],[UnitCostAtSale]]</f>
        <v>11250</v>
      </c>
      <c r="P270">
        <f>sales[[#This Row],[SalesAfterDiscount]]-sales[[#This Row],[CostOfGoodsSold]]</f>
        <v>6547.5</v>
      </c>
      <c r="Q270">
        <f>IFERROR(sales[[#This Row],[GrossProfit]]/sales[[#This Row],[SalesAfterDiscount]],0)</f>
        <v>0.36788874841972186</v>
      </c>
    </row>
    <row r="271" spans="1:17">
      <c r="A271" t="s">
        <v>678</v>
      </c>
      <c r="B271" t="s">
        <v>679</v>
      </c>
      <c r="C271" s="1">
        <v>45967</v>
      </c>
      <c r="D271" t="s">
        <v>130</v>
      </c>
      <c r="E271" t="s">
        <v>72</v>
      </c>
      <c r="F271" t="s">
        <v>220</v>
      </c>
      <c r="G271" t="s">
        <v>16</v>
      </c>
      <c r="H271">
        <v>4</v>
      </c>
      <c r="I271">
        <v>12166.11</v>
      </c>
      <c r="J271">
        <v>0.05</v>
      </c>
      <c r="K271">
        <v>7750</v>
      </c>
      <c r="L271">
        <f>sales[[#This Row],[Quantity]]*sales[[#This Row],[UnitPrice]]</f>
        <v>48664.44</v>
      </c>
      <c r="M271">
        <f>sales[[#This Row],[GrossSales]]*sales[[#This Row],[DiscountRate]]</f>
        <v>2433.2220000000002</v>
      </c>
      <c r="N271">
        <f>sales[[#This Row],[GrossSales]]-sales[[#This Row],[DiscountAmount]]</f>
        <v>46231.218000000001</v>
      </c>
      <c r="O271">
        <f>sales[[#This Row],[Quantity]]*sales[[#This Row],[UnitCostAtSale]]</f>
        <v>31000</v>
      </c>
      <c r="P271">
        <f>sales[[#This Row],[SalesAfterDiscount]]-sales[[#This Row],[CostOfGoodsSold]]</f>
        <v>15231.218000000001</v>
      </c>
      <c r="Q271">
        <f>IFERROR(sales[[#This Row],[GrossProfit]]/sales[[#This Row],[SalesAfterDiscount]],0)</f>
        <v>0.32945742420197538</v>
      </c>
    </row>
    <row r="272" spans="1:17">
      <c r="A272" t="s">
        <v>680</v>
      </c>
      <c r="B272" t="s">
        <v>681</v>
      </c>
      <c r="C272" s="1">
        <v>45719</v>
      </c>
      <c r="D272" t="s">
        <v>71</v>
      </c>
      <c r="E272" t="s">
        <v>72</v>
      </c>
      <c r="F272" t="s">
        <v>73</v>
      </c>
      <c r="G272" t="s">
        <v>16</v>
      </c>
      <c r="H272">
        <v>2</v>
      </c>
      <c r="I272">
        <v>5799.34</v>
      </c>
      <c r="J272">
        <v>0.15</v>
      </c>
      <c r="K272">
        <v>3800</v>
      </c>
      <c r="L272">
        <f>sales[[#This Row],[Quantity]]*sales[[#This Row],[UnitPrice]]</f>
        <v>11598.68</v>
      </c>
      <c r="M272">
        <f>sales[[#This Row],[GrossSales]]*sales[[#This Row],[DiscountRate]]</f>
        <v>1739.8019999999999</v>
      </c>
      <c r="N272">
        <f>sales[[#This Row],[GrossSales]]-sales[[#This Row],[DiscountAmount]]</f>
        <v>9858.8780000000006</v>
      </c>
      <c r="O272">
        <f>sales[[#This Row],[Quantity]]*sales[[#This Row],[UnitCostAtSale]]</f>
        <v>7600</v>
      </c>
      <c r="P272">
        <f>sales[[#This Row],[SalesAfterDiscount]]-sales[[#This Row],[CostOfGoodsSold]]</f>
        <v>2258.8780000000006</v>
      </c>
      <c r="Q272">
        <f>IFERROR(sales[[#This Row],[GrossProfit]]/sales[[#This Row],[SalesAfterDiscount]],0)</f>
        <v>0.22912120425874025</v>
      </c>
    </row>
    <row r="273" spans="1:17">
      <c r="A273" t="s">
        <v>682</v>
      </c>
      <c r="B273" t="s">
        <v>683</v>
      </c>
      <c r="C273" s="1">
        <v>46006</v>
      </c>
      <c r="D273" t="s">
        <v>33</v>
      </c>
      <c r="E273" t="s">
        <v>20</v>
      </c>
      <c r="F273" t="s">
        <v>626</v>
      </c>
      <c r="G273" t="s">
        <v>16</v>
      </c>
      <c r="H273">
        <v>5</v>
      </c>
      <c r="I273">
        <v>19237.78</v>
      </c>
      <c r="J273">
        <v>0.05</v>
      </c>
      <c r="K273">
        <v>13150</v>
      </c>
      <c r="L273">
        <f>sales[[#This Row],[Quantity]]*sales[[#This Row],[UnitPrice]]</f>
        <v>96188.9</v>
      </c>
      <c r="M273">
        <f>sales[[#This Row],[GrossSales]]*sales[[#This Row],[DiscountRate]]</f>
        <v>4809.4449999999997</v>
      </c>
      <c r="N273">
        <f>sales[[#This Row],[GrossSales]]-sales[[#This Row],[DiscountAmount]]</f>
        <v>91379.454999999987</v>
      </c>
      <c r="O273">
        <f>sales[[#This Row],[Quantity]]*sales[[#This Row],[UnitCostAtSale]]</f>
        <v>65750</v>
      </c>
      <c r="P273">
        <f>sales[[#This Row],[SalesAfterDiscount]]-sales[[#This Row],[CostOfGoodsSold]]</f>
        <v>25629.454999999987</v>
      </c>
      <c r="Q273">
        <f>IFERROR(sales[[#This Row],[GrossProfit]]/sales[[#This Row],[SalesAfterDiscount]],0)</f>
        <v>0.28047283713828225</v>
      </c>
    </row>
    <row r="274" spans="1:17">
      <c r="A274" t="s">
        <v>684</v>
      </c>
      <c r="B274" t="s">
        <v>685</v>
      </c>
      <c r="C274" s="1">
        <v>46011</v>
      </c>
      <c r="D274" t="s">
        <v>87</v>
      </c>
      <c r="E274" t="s">
        <v>20</v>
      </c>
      <c r="F274" t="s">
        <v>651</v>
      </c>
      <c r="G274" t="s">
        <v>22</v>
      </c>
      <c r="H274">
        <v>4</v>
      </c>
      <c r="I274">
        <v>9337.2199999999993</v>
      </c>
      <c r="J274">
        <v>0.05</v>
      </c>
      <c r="K274">
        <v>6050</v>
      </c>
      <c r="L274">
        <f>sales[[#This Row],[Quantity]]*sales[[#This Row],[UnitPrice]]</f>
        <v>37348.879999999997</v>
      </c>
      <c r="M274">
        <f>sales[[#This Row],[GrossSales]]*sales[[#This Row],[DiscountRate]]</f>
        <v>1867.444</v>
      </c>
      <c r="N274">
        <f>sales[[#This Row],[GrossSales]]-sales[[#This Row],[DiscountAmount]]</f>
        <v>35481.435999999994</v>
      </c>
      <c r="O274">
        <f>sales[[#This Row],[Quantity]]*sales[[#This Row],[UnitCostAtSale]]</f>
        <v>24200</v>
      </c>
      <c r="P274">
        <f>sales[[#This Row],[SalesAfterDiscount]]-sales[[#This Row],[CostOfGoodsSold]]</f>
        <v>11281.435999999994</v>
      </c>
      <c r="Q274">
        <f>IFERROR(sales[[#This Row],[GrossProfit]]/sales[[#This Row],[SalesAfterDiscount]],0)</f>
        <v>0.31795319670827293</v>
      </c>
    </row>
    <row r="275" spans="1:17">
      <c r="A275" t="s">
        <v>686</v>
      </c>
      <c r="B275" t="s">
        <v>687</v>
      </c>
      <c r="C275" s="1">
        <v>45905</v>
      </c>
      <c r="D275" t="s">
        <v>286</v>
      </c>
      <c r="E275" t="s">
        <v>20</v>
      </c>
      <c r="F275" t="s">
        <v>468</v>
      </c>
      <c r="G275" t="s">
        <v>22</v>
      </c>
      <c r="H275">
        <v>4</v>
      </c>
      <c r="I275">
        <v>614.66</v>
      </c>
      <c r="J275">
        <v>0</v>
      </c>
      <c r="K275">
        <v>400</v>
      </c>
      <c r="L275">
        <f>sales[[#This Row],[Quantity]]*sales[[#This Row],[UnitPrice]]</f>
        <v>2458.64</v>
      </c>
      <c r="M275">
        <f>sales[[#This Row],[GrossSales]]*sales[[#This Row],[DiscountRate]]</f>
        <v>0</v>
      </c>
      <c r="N275">
        <f>sales[[#This Row],[GrossSales]]-sales[[#This Row],[DiscountAmount]]</f>
        <v>2458.64</v>
      </c>
      <c r="O275">
        <f>sales[[#This Row],[Quantity]]*sales[[#This Row],[UnitCostAtSale]]</f>
        <v>1600</v>
      </c>
      <c r="P275">
        <f>sales[[#This Row],[SalesAfterDiscount]]-sales[[#This Row],[CostOfGoodsSold]]</f>
        <v>858.63999999999987</v>
      </c>
      <c r="Q275">
        <f>IFERROR(sales[[#This Row],[GrossProfit]]/sales[[#This Row],[SalesAfterDiscount]],0)</f>
        <v>0.34923372270848924</v>
      </c>
    </row>
    <row r="276" spans="1:17">
      <c r="A276" t="s">
        <v>688</v>
      </c>
      <c r="B276" t="s">
        <v>689</v>
      </c>
      <c r="C276" s="1">
        <v>45757</v>
      </c>
      <c r="D276" t="s">
        <v>29</v>
      </c>
      <c r="E276" t="s">
        <v>72</v>
      </c>
      <c r="F276" t="s">
        <v>388</v>
      </c>
      <c r="G276" t="s">
        <v>16</v>
      </c>
      <c r="H276">
        <v>1</v>
      </c>
      <c r="I276">
        <v>13204.06</v>
      </c>
      <c r="J276">
        <v>0.1</v>
      </c>
      <c r="K276">
        <v>11050</v>
      </c>
      <c r="L276">
        <f>sales[[#This Row],[Quantity]]*sales[[#This Row],[UnitPrice]]</f>
        <v>13204.06</v>
      </c>
      <c r="M276">
        <f>sales[[#This Row],[GrossSales]]*sales[[#This Row],[DiscountRate]]</f>
        <v>1320.4059999999999</v>
      </c>
      <c r="N276">
        <f>sales[[#This Row],[GrossSales]]-sales[[#This Row],[DiscountAmount]]</f>
        <v>11883.653999999999</v>
      </c>
      <c r="O276">
        <f>sales[[#This Row],[Quantity]]*sales[[#This Row],[UnitCostAtSale]]</f>
        <v>11050</v>
      </c>
      <c r="P276">
        <f>sales[[#This Row],[SalesAfterDiscount]]-sales[[#This Row],[CostOfGoodsSold]]</f>
        <v>833.65399999999863</v>
      </c>
      <c r="Q276">
        <f>IFERROR(sales[[#This Row],[GrossProfit]]/sales[[#This Row],[SalesAfterDiscount]],0)</f>
        <v>7.0151318777877475E-2</v>
      </c>
    </row>
    <row r="277" spans="1:17">
      <c r="A277" t="s">
        <v>690</v>
      </c>
      <c r="B277" t="s">
        <v>691</v>
      </c>
      <c r="C277" s="1">
        <v>45821</v>
      </c>
      <c r="D277" t="s">
        <v>25</v>
      </c>
      <c r="E277" t="s">
        <v>20</v>
      </c>
      <c r="F277" t="s">
        <v>61</v>
      </c>
      <c r="G277" t="s">
        <v>22</v>
      </c>
      <c r="H277">
        <v>3</v>
      </c>
      <c r="I277">
        <v>18592.419999999998</v>
      </c>
      <c r="J277">
        <v>0.2</v>
      </c>
      <c r="K277">
        <v>14600</v>
      </c>
      <c r="L277">
        <f>sales[[#This Row],[Quantity]]*sales[[#This Row],[UnitPrice]]</f>
        <v>55777.259999999995</v>
      </c>
      <c r="M277">
        <f>sales[[#This Row],[GrossSales]]*sales[[#This Row],[DiscountRate]]</f>
        <v>11155.451999999999</v>
      </c>
      <c r="N277">
        <f>sales[[#This Row],[GrossSales]]-sales[[#This Row],[DiscountAmount]]</f>
        <v>44621.807999999997</v>
      </c>
      <c r="O277">
        <f>sales[[#This Row],[Quantity]]*sales[[#This Row],[UnitCostAtSale]]</f>
        <v>43800</v>
      </c>
      <c r="P277">
        <f>sales[[#This Row],[SalesAfterDiscount]]-sales[[#This Row],[CostOfGoodsSold]]</f>
        <v>821.80799999999726</v>
      </c>
      <c r="Q277">
        <f>IFERROR(sales[[#This Row],[GrossProfit]]/sales[[#This Row],[SalesAfterDiscount]],0)</f>
        <v>1.8417182916478807E-2</v>
      </c>
    </row>
    <row r="278" spans="1:17">
      <c r="A278" t="s">
        <v>692</v>
      </c>
      <c r="B278" t="s">
        <v>693</v>
      </c>
      <c r="C278" s="1">
        <v>46185</v>
      </c>
      <c r="D278" t="s">
        <v>19</v>
      </c>
      <c r="E278" t="s">
        <v>20</v>
      </c>
      <c r="F278" t="s">
        <v>428</v>
      </c>
      <c r="G278" t="s">
        <v>22</v>
      </c>
      <c r="H278">
        <v>4</v>
      </c>
      <c r="I278">
        <v>12193.29</v>
      </c>
      <c r="J278">
        <v>0.15</v>
      </c>
      <c r="K278">
        <v>9950</v>
      </c>
      <c r="L278">
        <f>sales[[#This Row],[Quantity]]*sales[[#This Row],[UnitPrice]]</f>
        <v>48773.16</v>
      </c>
      <c r="M278">
        <f>sales[[#This Row],[GrossSales]]*sales[[#This Row],[DiscountRate]]</f>
        <v>7315.9740000000002</v>
      </c>
      <c r="N278">
        <f>sales[[#This Row],[GrossSales]]-sales[[#This Row],[DiscountAmount]]</f>
        <v>41457.186000000002</v>
      </c>
      <c r="O278">
        <f>sales[[#This Row],[Quantity]]*sales[[#This Row],[UnitCostAtSale]]</f>
        <v>39800</v>
      </c>
      <c r="P278">
        <f>sales[[#This Row],[SalesAfterDiscount]]-sales[[#This Row],[CostOfGoodsSold]]</f>
        <v>1657.1860000000015</v>
      </c>
      <c r="Q278">
        <f>IFERROR(sales[[#This Row],[GrossProfit]]/sales[[#This Row],[SalesAfterDiscount]],0)</f>
        <v>3.9973431867758737E-2</v>
      </c>
    </row>
    <row r="279" spans="1:17">
      <c r="A279" t="s">
        <v>694</v>
      </c>
      <c r="B279" t="s">
        <v>695</v>
      </c>
      <c r="C279" s="1">
        <v>46060</v>
      </c>
      <c r="D279" t="s">
        <v>71</v>
      </c>
      <c r="E279" t="s">
        <v>50</v>
      </c>
      <c r="F279" t="s">
        <v>287</v>
      </c>
      <c r="G279" t="s">
        <v>16</v>
      </c>
      <c r="H279">
        <v>5</v>
      </c>
      <c r="I279">
        <v>5799.34</v>
      </c>
      <c r="J279">
        <v>0.15</v>
      </c>
      <c r="K279">
        <v>3800</v>
      </c>
      <c r="L279">
        <f>sales[[#This Row],[Quantity]]*sales[[#This Row],[UnitPrice]]</f>
        <v>28996.7</v>
      </c>
      <c r="M279">
        <f>sales[[#This Row],[GrossSales]]*sales[[#This Row],[DiscountRate]]</f>
        <v>4349.5050000000001</v>
      </c>
      <c r="N279">
        <f>sales[[#This Row],[GrossSales]]-sales[[#This Row],[DiscountAmount]]</f>
        <v>24647.195</v>
      </c>
      <c r="O279">
        <f>sales[[#This Row],[Quantity]]*sales[[#This Row],[UnitCostAtSale]]</f>
        <v>19000</v>
      </c>
      <c r="P279">
        <f>sales[[#This Row],[SalesAfterDiscount]]-sales[[#This Row],[CostOfGoodsSold]]</f>
        <v>5647.1949999999997</v>
      </c>
      <c r="Q279">
        <f>IFERROR(sales[[#This Row],[GrossProfit]]/sales[[#This Row],[SalesAfterDiscount]],0)</f>
        <v>0.22912120425874019</v>
      </c>
    </row>
    <row r="280" spans="1:17">
      <c r="A280" t="s">
        <v>696</v>
      </c>
      <c r="B280" t="s">
        <v>697</v>
      </c>
      <c r="C280" s="1">
        <v>45709</v>
      </c>
      <c r="D280" t="s">
        <v>60</v>
      </c>
      <c r="E280" t="s">
        <v>46</v>
      </c>
      <c r="F280" t="s">
        <v>263</v>
      </c>
      <c r="G280" t="s">
        <v>16</v>
      </c>
      <c r="H280">
        <v>3</v>
      </c>
      <c r="I280">
        <v>9389.4699999999993</v>
      </c>
      <c r="J280">
        <v>0.15</v>
      </c>
      <c r="K280">
        <v>7250</v>
      </c>
      <c r="L280">
        <f>sales[[#This Row],[Quantity]]*sales[[#This Row],[UnitPrice]]</f>
        <v>28168.409999999996</v>
      </c>
      <c r="M280">
        <f>sales[[#This Row],[GrossSales]]*sales[[#This Row],[DiscountRate]]</f>
        <v>4225.2614999999996</v>
      </c>
      <c r="N280">
        <f>sales[[#This Row],[GrossSales]]-sales[[#This Row],[DiscountAmount]]</f>
        <v>23943.148499999996</v>
      </c>
      <c r="O280">
        <f>sales[[#This Row],[Quantity]]*sales[[#This Row],[UnitCostAtSale]]</f>
        <v>21750</v>
      </c>
      <c r="P280">
        <f>sales[[#This Row],[SalesAfterDiscount]]-sales[[#This Row],[CostOfGoodsSold]]</f>
        <v>2193.1484999999957</v>
      </c>
      <c r="Q280">
        <f>IFERROR(sales[[#This Row],[GrossProfit]]/sales[[#This Row],[SalesAfterDiscount]],0)</f>
        <v>9.1598166381501422E-2</v>
      </c>
    </row>
    <row r="281" spans="1:17">
      <c r="A281" t="s">
        <v>698</v>
      </c>
      <c r="B281" t="s">
        <v>699</v>
      </c>
      <c r="C281" s="1">
        <v>45666</v>
      </c>
      <c r="D281" t="s">
        <v>155</v>
      </c>
      <c r="E281" t="s">
        <v>50</v>
      </c>
      <c r="F281" t="s">
        <v>100</v>
      </c>
      <c r="G281" t="s">
        <v>16</v>
      </c>
      <c r="H281">
        <v>1</v>
      </c>
      <c r="I281">
        <v>17046.37</v>
      </c>
      <c r="J281">
        <v>0.15</v>
      </c>
      <c r="K281">
        <v>11700</v>
      </c>
      <c r="L281">
        <f>sales[[#This Row],[Quantity]]*sales[[#This Row],[UnitPrice]]</f>
        <v>17046.37</v>
      </c>
      <c r="M281">
        <f>sales[[#This Row],[GrossSales]]*sales[[#This Row],[DiscountRate]]</f>
        <v>2556.9554999999996</v>
      </c>
      <c r="N281">
        <f>sales[[#This Row],[GrossSales]]-sales[[#This Row],[DiscountAmount]]</f>
        <v>14489.414499999999</v>
      </c>
      <c r="O281">
        <f>sales[[#This Row],[Quantity]]*sales[[#This Row],[UnitCostAtSale]]</f>
        <v>11700</v>
      </c>
      <c r="P281">
        <f>sales[[#This Row],[SalesAfterDiscount]]-sales[[#This Row],[CostOfGoodsSold]]</f>
        <v>2789.414499999999</v>
      </c>
      <c r="Q281">
        <f>IFERROR(sales[[#This Row],[GrossProfit]]/sales[[#This Row],[SalesAfterDiscount]],0)</f>
        <v>0.1925139556191176</v>
      </c>
    </row>
    <row r="282" spans="1:17">
      <c r="A282" t="s">
        <v>700</v>
      </c>
      <c r="B282" t="s">
        <v>701</v>
      </c>
      <c r="C282" s="1">
        <v>46070</v>
      </c>
      <c r="D282" t="s">
        <v>202</v>
      </c>
      <c r="E282" t="s">
        <v>72</v>
      </c>
      <c r="F282" t="s">
        <v>68</v>
      </c>
      <c r="G282" t="s">
        <v>22</v>
      </c>
      <c r="H282">
        <v>3</v>
      </c>
      <c r="I282">
        <v>3559.5</v>
      </c>
      <c r="J282">
        <v>0</v>
      </c>
      <c r="K282">
        <v>2250</v>
      </c>
      <c r="L282">
        <f>sales[[#This Row],[Quantity]]*sales[[#This Row],[UnitPrice]]</f>
        <v>10678.5</v>
      </c>
      <c r="M282">
        <f>sales[[#This Row],[GrossSales]]*sales[[#This Row],[DiscountRate]]</f>
        <v>0</v>
      </c>
      <c r="N282">
        <f>sales[[#This Row],[GrossSales]]-sales[[#This Row],[DiscountAmount]]</f>
        <v>10678.5</v>
      </c>
      <c r="O282">
        <f>sales[[#This Row],[Quantity]]*sales[[#This Row],[UnitCostAtSale]]</f>
        <v>6750</v>
      </c>
      <c r="P282">
        <f>sales[[#This Row],[SalesAfterDiscount]]-sales[[#This Row],[CostOfGoodsSold]]</f>
        <v>3928.5</v>
      </c>
      <c r="Q282">
        <f>IFERROR(sales[[#This Row],[GrossProfit]]/sales[[#This Row],[SalesAfterDiscount]],0)</f>
        <v>0.36788874841972186</v>
      </c>
    </row>
    <row r="283" spans="1:17">
      <c r="A283" t="s">
        <v>702</v>
      </c>
      <c r="B283" t="s">
        <v>703</v>
      </c>
      <c r="C283" s="1">
        <v>45953</v>
      </c>
      <c r="D283" t="s">
        <v>13</v>
      </c>
      <c r="E283" t="s">
        <v>46</v>
      </c>
      <c r="F283" t="s">
        <v>468</v>
      </c>
      <c r="G283" t="s">
        <v>16</v>
      </c>
      <c r="H283">
        <v>1</v>
      </c>
      <c r="I283">
        <v>6484.94</v>
      </c>
      <c r="J283">
        <v>0.15</v>
      </c>
      <c r="K283">
        <v>4300</v>
      </c>
      <c r="L283">
        <f>sales[[#This Row],[Quantity]]*sales[[#This Row],[UnitPrice]]</f>
        <v>6484.94</v>
      </c>
      <c r="M283">
        <f>sales[[#This Row],[GrossSales]]*sales[[#This Row],[DiscountRate]]</f>
        <v>972.74099999999987</v>
      </c>
      <c r="N283">
        <f>sales[[#This Row],[GrossSales]]-sales[[#This Row],[DiscountAmount]]</f>
        <v>5512.1989999999996</v>
      </c>
      <c r="O283">
        <f>sales[[#This Row],[Quantity]]*sales[[#This Row],[UnitCostAtSale]]</f>
        <v>4300</v>
      </c>
      <c r="P283">
        <f>sales[[#This Row],[SalesAfterDiscount]]-sales[[#This Row],[CostOfGoodsSold]]</f>
        <v>1212.1989999999996</v>
      </c>
      <c r="Q283">
        <f>IFERROR(sales[[#This Row],[GrossProfit]]/sales[[#This Row],[SalesAfterDiscount]],0)</f>
        <v>0.21991205324771471</v>
      </c>
    </row>
    <row r="284" spans="1:17">
      <c r="A284" t="s">
        <v>704</v>
      </c>
      <c r="B284" t="s">
        <v>705</v>
      </c>
      <c r="C284" s="1">
        <v>45779</v>
      </c>
      <c r="D284" t="s">
        <v>126</v>
      </c>
      <c r="E284" t="s">
        <v>72</v>
      </c>
      <c r="F284" t="s">
        <v>535</v>
      </c>
      <c r="G284" t="s">
        <v>16</v>
      </c>
      <c r="H284">
        <v>2</v>
      </c>
      <c r="I284">
        <v>17523.439999999999</v>
      </c>
      <c r="J284">
        <v>0</v>
      </c>
      <c r="K284">
        <v>11850</v>
      </c>
      <c r="L284">
        <f>sales[[#This Row],[Quantity]]*sales[[#This Row],[UnitPrice]]</f>
        <v>35046.879999999997</v>
      </c>
      <c r="M284">
        <f>sales[[#This Row],[GrossSales]]*sales[[#This Row],[DiscountRate]]</f>
        <v>0</v>
      </c>
      <c r="N284">
        <f>sales[[#This Row],[GrossSales]]-sales[[#This Row],[DiscountAmount]]</f>
        <v>35046.879999999997</v>
      </c>
      <c r="O284">
        <f>sales[[#This Row],[Quantity]]*sales[[#This Row],[UnitCostAtSale]]</f>
        <v>23700</v>
      </c>
      <c r="P284">
        <f>sales[[#This Row],[SalesAfterDiscount]]-sales[[#This Row],[CostOfGoodsSold]]</f>
        <v>11346.879999999997</v>
      </c>
      <c r="Q284">
        <f>IFERROR(sales[[#This Row],[GrossProfit]]/sales[[#This Row],[SalesAfterDiscount]],0)</f>
        <v>0.32376291413101532</v>
      </c>
    </row>
    <row r="285" spans="1:17">
      <c r="A285" t="s">
        <v>706</v>
      </c>
      <c r="B285" t="s">
        <v>707</v>
      </c>
      <c r="C285" s="1">
        <v>46032</v>
      </c>
      <c r="D285" t="s">
        <v>64</v>
      </c>
      <c r="E285" t="s">
        <v>46</v>
      </c>
      <c r="F285" t="s">
        <v>651</v>
      </c>
      <c r="G285" t="s">
        <v>16</v>
      </c>
      <c r="H285">
        <v>2</v>
      </c>
      <c r="I285">
        <v>2056.0100000000002</v>
      </c>
      <c r="J285">
        <v>0.05</v>
      </c>
      <c r="K285">
        <v>1350</v>
      </c>
      <c r="L285">
        <f>sales[[#This Row],[Quantity]]*sales[[#This Row],[UnitPrice]]</f>
        <v>4112.0200000000004</v>
      </c>
      <c r="M285">
        <f>sales[[#This Row],[GrossSales]]*sales[[#This Row],[DiscountRate]]</f>
        <v>205.60100000000003</v>
      </c>
      <c r="N285">
        <f>sales[[#This Row],[GrossSales]]-sales[[#This Row],[DiscountAmount]]</f>
        <v>3906.4190000000003</v>
      </c>
      <c r="O285">
        <f>sales[[#This Row],[Quantity]]*sales[[#This Row],[UnitCostAtSale]]</f>
        <v>2700</v>
      </c>
      <c r="P285">
        <f>sales[[#This Row],[SalesAfterDiscount]]-sales[[#This Row],[CostOfGoodsSold]]</f>
        <v>1206.4190000000003</v>
      </c>
      <c r="Q285">
        <f>IFERROR(sales[[#This Row],[GrossProfit]]/sales[[#This Row],[SalesAfterDiscount]],0)</f>
        <v>0.30882990278308603</v>
      </c>
    </row>
    <row r="286" spans="1:17">
      <c r="A286" t="s">
        <v>708</v>
      </c>
      <c r="B286" t="s">
        <v>709</v>
      </c>
      <c r="C286" s="1">
        <v>45699</v>
      </c>
      <c r="D286" t="s">
        <v>122</v>
      </c>
      <c r="E286" t="s">
        <v>50</v>
      </c>
      <c r="F286" t="s">
        <v>626</v>
      </c>
      <c r="G286" t="s">
        <v>16</v>
      </c>
      <c r="H286">
        <v>1</v>
      </c>
      <c r="I286">
        <v>13246.95</v>
      </c>
      <c r="J286">
        <v>0</v>
      </c>
      <c r="K286">
        <v>9050</v>
      </c>
      <c r="L286">
        <f>sales[[#This Row],[Quantity]]*sales[[#This Row],[UnitPrice]]</f>
        <v>13246.95</v>
      </c>
      <c r="M286">
        <f>sales[[#This Row],[GrossSales]]*sales[[#This Row],[DiscountRate]]</f>
        <v>0</v>
      </c>
      <c r="N286">
        <f>sales[[#This Row],[GrossSales]]-sales[[#This Row],[DiscountAmount]]</f>
        <v>13246.95</v>
      </c>
      <c r="O286">
        <f>sales[[#This Row],[Quantity]]*sales[[#This Row],[UnitCostAtSale]]</f>
        <v>9050</v>
      </c>
      <c r="P286">
        <f>sales[[#This Row],[SalesAfterDiscount]]-sales[[#This Row],[CostOfGoodsSold]]</f>
        <v>4196.9500000000007</v>
      </c>
      <c r="Q286">
        <f>IFERROR(sales[[#This Row],[GrossProfit]]/sales[[#This Row],[SalesAfterDiscount]],0)</f>
        <v>0.31682387266502859</v>
      </c>
    </row>
    <row r="287" spans="1:17">
      <c r="A287" t="s">
        <v>710</v>
      </c>
      <c r="B287" t="s">
        <v>711</v>
      </c>
      <c r="C287" s="1">
        <v>46143</v>
      </c>
      <c r="D287" t="s">
        <v>416</v>
      </c>
      <c r="E287" t="s">
        <v>50</v>
      </c>
      <c r="F287" t="s">
        <v>164</v>
      </c>
      <c r="G287" t="s">
        <v>22</v>
      </c>
      <c r="H287">
        <v>5</v>
      </c>
      <c r="I287">
        <v>3804.25</v>
      </c>
      <c r="J287">
        <v>0.15</v>
      </c>
      <c r="K287">
        <v>2800</v>
      </c>
      <c r="L287">
        <f>sales[[#This Row],[Quantity]]*sales[[#This Row],[UnitPrice]]</f>
        <v>19021.25</v>
      </c>
      <c r="M287">
        <f>sales[[#This Row],[GrossSales]]*sales[[#This Row],[DiscountRate]]</f>
        <v>2853.1875</v>
      </c>
      <c r="N287">
        <f>sales[[#This Row],[GrossSales]]-sales[[#This Row],[DiscountAmount]]</f>
        <v>16168.0625</v>
      </c>
      <c r="O287">
        <f>sales[[#This Row],[Quantity]]*sales[[#This Row],[UnitCostAtSale]]</f>
        <v>14000</v>
      </c>
      <c r="P287">
        <f>sales[[#This Row],[SalesAfterDiscount]]-sales[[#This Row],[CostOfGoodsSold]]</f>
        <v>2168.0625</v>
      </c>
      <c r="Q287">
        <f>IFERROR(sales[[#This Row],[GrossProfit]]/sales[[#This Row],[SalesAfterDiscount]],0)</f>
        <v>0.13409538094004769</v>
      </c>
    </row>
    <row r="288" spans="1:17">
      <c r="A288" t="s">
        <v>712</v>
      </c>
      <c r="B288" t="s">
        <v>713</v>
      </c>
      <c r="C288" s="1">
        <v>45984</v>
      </c>
      <c r="D288" t="s">
        <v>286</v>
      </c>
      <c r="E288" t="s">
        <v>46</v>
      </c>
      <c r="F288" t="s">
        <v>329</v>
      </c>
      <c r="G288" t="s">
        <v>16</v>
      </c>
      <c r="H288">
        <v>2</v>
      </c>
      <c r="I288">
        <v>614.66</v>
      </c>
      <c r="J288">
        <v>0.15</v>
      </c>
      <c r="K288">
        <v>400</v>
      </c>
      <c r="L288">
        <f>sales[[#This Row],[Quantity]]*sales[[#This Row],[UnitPrice]]</f>
        <v>1229.32</v>
      </c>
      <c r="M288">
        <f>sales[[#This Row],[GrossSales]]*sales[[#This Row],[DiscountRate]]</f>
        <v>184.398</v>
      </c>
      <c r="N288">
        <f>sales[[#This Row],[GrossSales]]-sales[[#This Row],[DiscountAmount]]</f>
        <v>1044.922</v>
      </c>
      <c r="O288">
        <f>sales[[#This Row],[Quantity]]*sales[[#This Row],[UnitCostAtSale]]</f>
        <v>800</v>
      </c>
      <c r="P288">
        <f>sales[[#This Row],[SalesAfterDiscount]]-sales[[#This Row],[CostOfGoodsSold]]</f>
        <v>244.92200000000003</v>
      </c>
      <c r="Q288">
        <f>IFERROR(sales[[#This Row],[GrossProfit]]/sales[[#This Row],[SalesAfterDiscount]],0)</f>
        <v>0.23439261495116384</v>
      </c>
    </row>
    <row r="289" spans="1:17">
      <c r="A289" t="s">
        <v>714</v>
      </c>
      <c r="B289" t="s">
        <v>715</v>
      </c>
      <c r="C289" s="1">
        <v>46002</v>
      </c>
      <c r="D289" t="s">
        <v>41</v>
      </c>
      <c r="E289" t="s">
        <v>46</v>
      </c>
      <c r="F289" t="s">
        <v>500</v>
      </c>
      <c r="G289" t="s">
        <v>16</v>
      </c>
      <c r="H289">
        <v>5</v>
      </c>
      <c r="I289">
        <v>17279.419999999998</v>
      </c>
      <c r="J289">
        <v>0.2</v>
      </c>
      <c r="K289">
        <v>13950</v>
      </c>
      <c r="L289">
        <f>sales[[#This Row],[Quantity]]*sales[[#This Row],[UnitPrice]]</f>
        <v>86397.099999999991</v>
      </c>
      <c r="M289">
        <f>sales[[#This Row],[GrossSales]]*sales[[#This Row],[DiscountRate]]</f>
        <v>17279.419999999998</v>
      </c>
      <c r="N289">
        <f>sales[[#This Row],[GrossSales]]-sales[[#This Row],[DiscountAmount]]</f>
        <v>69117.679999999993</v>
      </c>
      <c r="O289">
        <f>sales[[#This Row],[Quantity]]*sales[[#This Row],[UnitCostAtSale]]</f>
        <v>69750</v>
      </c>
      <c r="P289">
        <f>sales[[#This Row],[SalesAfterDiscount]]-sales[[#This Row],[CostOfGoodsSold]]</f>
        <v>-632.32000000000698</v>
      </c>
      <c r="Q289">
        <f>IFERROR(sales[[#This Row],[GrossProfit]]/sales[[#This Row],[SalesAfterDiscount]],0)</f>
        <v>-9.1484552143533612E-3</v>
      </c>
    </row>
    <row r="290" spans="1:17">
      <c r="A290" t="s">
        <v>716</v>
      </c>
      <c r="B290" t="s">
        <v>717</v>
      </c>
      <c r="C290" s="1">
        <v>45675</v>
      </c>
      <c r="D290" t="s">
        <v>19</v>
      </c>
      <c r="E290" t="s">
        <v>14</v>
      </c>
      <c r="F290" t="s">
        <v>176</v>
      </c>
      <c r="G290" t="s">
        <v>16</v>
      </c>
      <c r="H290">
        <v>3</v>
      </c>
      <c r="I290">
        <v>12193.29</v>
      </c>
      <c r="J290">
        <v>0.1</v>
      </c>
      <c r="K290">
        <v>9950</v>
      </c>
      <c r="L290">
        <f>sales[[#This Row],[Quantity]]*sales[[#This Row],[UnitPrice]]</f>
        <v>36579.870000000003</v>
      </c>
      <c r="M290">
        <f>sales[[#This Row],[GrossSales]]*sales[[#This Row],[DiscountRate]]</f>
        <v>3657.9870000000005</v>
      </c>
      <c r="N290">
        <f>sales[[#This Row],[GrossSales]]-sales[[#This Row],[DiscountAmount]]</f>
        <v>32921.883000000002</v>
      </c>
      <c r="O290">
        <f>sales[[#This Row],[Quantity]]*sales[[#This Row],[UnitCostAtSale]]</f>
        <v>29850</v>
      </c>
      <c r="P290">
        <f>sales[[#This Row],[SalesAfterDiscount]]-sales[[#This Row],[CostOfGoodsSold]]</f>
        <v>3071.8830000000016</v>
      </c>
      <c r="Q290">
        <f>IFERROR(sales[[#This Row],[GrossProfit]]/sales[[#This Row],[SalesAfterDiscount]],0)</f>
        <v>9.3308241208438822E-2</v>
      </c>
    </row>
    <row r="291" spans="1:17">
      <c r="A291" t="s">
        <v>718</v>
      </c>
      <c r="B291" t="s">
        <v>719</v>
      </c>
      <c r="C291" s="1">
        <v>45685</v>
      </c>
      <c r="D291" t="s">
        <v>416</v>
      </c>
      <c r="E291" t="s">
        <v>20</v>
      </c>
      <c r="F291" t="s">
        <v>263</v>
      </c>
      <c r="G291" t="s">
        <v>22</v>
      </c>
      <c r="H291">
        <v>5</v>
      </c>
      <c r="I291">
        <v>3804.25</v>
      </c>
      <c r="J291">
        <v>0.15</v>
      </c>
      <c r="K291">
        <v>2800</v>
      </c>
      <c r="L291">
        <f>sales[[#This Row],[Quantity]]*sales[[#This Row],[UnitPrice]]</f>
        <v>19021.25</v>
      </c>
      <c r="M291">
        <f>sales[[#This Row],[GrossSales]]*sales[[#This Row],[DiscountRate]]</f>
        <v>2853.1875</v>
      </c>
      <c r="N291">
        <f>sales[[#This Row],[GrossSales]]-sales[[#This Row],[DiscountAmount]]</f>
        <v>16168.0625</v>
      </c>
      <c r="O291">
        <f>sales[[#This Row],[Quantity]]*sales[[#This Row],[UnitCostAtSale]]</f>
        <v>14000</v>
      </c>
      <c r="P291">
        <f>sales[[#This Row],[SalesAfterDiscount]]-sales[[#This Row],[CostOfGoodsSold]]</f>
        <v>2168.0625</v>
      </c>
      <c r="Q291">
        <f>IFERROR(sales[[#This Row],[GrossProfit]]/sales[[#This Row],[SalesAfterDiscount]],0)</f>
        <v>0.13409538094004769</v>
      </c>
    </row>
    <row r="292" spans="1:17">
      <c r="A292" t="s">
        <v>720</v>
      </c>
      <c r="B292" t="s">
        <v>721</v>
      </c>
      <c r="C292" s="1">
        <v>45710</v>
      </c>
      <c r="D292" t="s">
        <v>87</v>
      </c>
      <c r="E292" t="s">
        <v>50</v>
      </c>
      <c r="F292" t="s">
        <v>30</v>
      </c>
      <c r="G292" t="s">
        <v>16</v>
      </c>
      <c r="H292">
        <v>5</v>
      </c>
      <c r="I292">
        <v>9337.2199999999993</v>
      </c>
      <c r="J292">
        <v>0.15</v>
      </c>
      <c r="K292">
        <v>6050</v>
      </c>
      <c r="L292">
        <f>sales[[#This Row],[Quantity]]*sales[[#This Row],[UnitPrice]]</f>
        <v>46686.1</v>
      </c>
      <c r="M292">
        <f>sales[[#This Row],[GrossSales]]*sales[[#This Row],[DiscountRate]]</f>
        <v>7002.915</v>
      </c>
      <c r="N292">
        <f>sales[[#This Row],[GrossSales]]-sales[[#This Row],[DiscountAmount]]</f>
        <v>39683.184999999998</v>
      </c>
      <c r="O292">
        <f>sales[[#This Row],[Quantity]]*sales[[#This Row],[UnitCostAtSale]]</f>
        <v>30250</v>
      </c>
      <c r="P292">
        <f>sales[[#This Row],[SalesAfterDiscount]]-sales[[#This Row],[CostOfGoodsSold]]</f>
        <v>9433.1849999999977</v>
      </c>
      <c r="Q292">
        <f>IFERROR(sales[[#This Row],[GrossProfit]]/sales[[#This Row],[SalesAfterDiscount]],0)</f>
        <v>0.23771239632101099</v>
      </c>
    </row>
    <row r="293" spans="1:17">
      <c r="A293" t="s">
        <v>722</v>
      </c>
      <c r="B293" t="s">
        <v>723</v>
      </c>
      <c r="C293" s="1">
        <v>45906</v>
      </c>
      <c r="D293" t="s">
        <v>29</v>
      </c>
      <c r="E293" t="s">
        <v>14</v>
      </c>
      <c r="F293" t="s">
        <v>61</v>
      </c>
      <c r="G293" t="s">
        <v>22</v>
      </c>
      <c r="H293">
        <v>1</v>
      </c>
      <c r="I293">
        <v>13204.06</v>
      </c>
      <c r="J293">
        <v>0.2</v>
      </c>
      <c r="K293">
        <v>11050</v>
      </c>
      <c r="L293">
        <f>sales[[#This Row],[Quantity]]*sales[[#This Row],[UnitPrice]]</f>
        <v>13204.06</v>
      </c>
      <c r="M293">
        <f>sales[[#This Row],[GrossSales]]*sales[[#This Row],[DiscountRate]]</f>
        <v>2640.8119999999999</v>
      </c>
      <c r="N293">
        <f>sales[[#This Row],[GrossSales]]-sales[[#This Row],[DiscountAmount]]</f>
        <v>10563.248</v>
      </c>
      <c r="O293">
        <f>sales[[#This Row],[Quantity]]*sales[[#This Row],[UnitCostAtSale]]</f>
        <v>11050</v>
      </c>
      <c r="P293">
        <f>sales[[#This Row],[SalesAfterDiscount]]-sales[[#This Row],[CostOfGoodsSold]]</f>
        <v>-486.75200000000041</v>
      </c>
      <c r="Q293">
        <f>IFERROR(sales[[#This Row],[GrossProfit]]/sales[[#This Row],[SalesAfterDiscount]],0)</f>
        <v>-4.6079766374887761E-2</v>
      </c>
    </row>
    <row r="294" spans="1:17">
      <c r="A294" t="s">
        <v>724</v>
      </c>
      <c r="B294" t="s">
        <v>725</v>
      </c>
      <c r="C294" s="1">
        <v>45979</v>
      </c>
      <c r="D294" t="s">
        <v>112</v>
      </c>
      <c r="E294" t="s">
        <v>72</v>
      </c>
      <c r="F294" t="s">
        <v>619</v>
      </c>
      <c r="G294" t="s">
        <v>22</v>
      </c>
      <c r="H294">
        <v>4</v>
      </c>
      <c r="I294">
        <v>10868.14</v>
      </c>
      <c r="J294">
        <v>0.05</v>
      </c>
      <c r="K294">
        <v>8850</v>
      </c>
      <c r="L294">
        <f>sales[[#This Row],[Quantity]]*sales[[#This Row],[UnitPrice]]</f>
        <v>43472.56</v>
      </c>
      <c r="M294">
        <f>sales[[#This Row],[GrossSales]]*sales[[#This Row],[DiscountRate]]</f>
        <v>2173.6280000000002</v>
      </c>
      <c r="N294">
        <f>sales[[#This Row],[GrossSales]]-sales[[#This Row],[DiscountAmount]]</f>
        <v>41298.932000000001</v>
      </c>
      <c r="O294">
        <f>sales[[#This Row],[Quantity]]*sales[[#This Row],[UnitCostAtSale]]</f>
        <v>35400</v>
      </c>
      <c r="P294">
        <f>sales[[#This Row],[SalesAfterDiscount]]-sales[[#This Row],[CostOfGoodsSold]]</f>
        <v>5898.9320000000007</v>
      </c>
      <c r="Q294">
        <f>IFERROR(sales[[#This Row],[GrossProfit]]/sales[[#This Row],[SalesAfterDiscount]],0)</f>
        <v>0.14283497694322944</v>
      </c>
    </row>
    <row r="295" spans="1:17">
      <c r="A295" t="s">
        <v>726</v>
      </c>
      <c r="B295" t="s">
        <v>727</v>
      </c>
      <c r="C295" s="1">
        <v>46171</v>
      </c>
      <c r="D295" t="s">
        <v>316</v>
      </c>
      <c r="E295" t="s">
        <v>14</v>
      </c>
      <c r="F295" t="s">
        <v>131</v>
      </c>
      <c r="G295" t="s">
        <v>22</v>
      </c>
      <c r="H295">
        <v>5</v>
      </c>
      <c r="I295">
        <v>9371.8700000000008</v>
      </c>
      <c r="J295">
        <v>0.15</v>
      </c>
      <c r="K295">
        <v>5750</v>
      </c>
      <c r="L295">
        <f>sales[[#This Row],[Quantity]]*sales[[#This Row],[UnitPrice]]</f>
        <v>46859.350000000006</v>
      </c>
      <c r="M295">
        <f>sales[[#This Row],[GrossSales]]*sales[[#This Row],[DiscountRate]]</f>
        <v>7028.9025000000011</v>
      </c>
      <c r="N295">
        <f>sales[[#This Row],[GrossSales]]-sales[[#This Row],[DiscountAmount]]</f>
        <v>39830.447500000002</v>
      </c>
      <c r="O295">
        <f>sales[[#This Row],[Quantity]]*sales[[#This Row],[UnitCostAtSale]]</f>
        <v>28750</v>
      </c>
      <c r="P295">
        <f>sales[[#This Row],[SalesAfterDiscount]]-sales[[#This Row],[CostOfGoodsSold]]</f>
        <v>11080.447500000002</v>
      </c>
      <c r="Q295">
        <f>IFERROR(sales[[#This Row],[GrossProfit]]/sales[[#This Row],[SalesAfterDiscount]],0)</f>
        <v>0.27819038437868421</v>
      </c>
    </row>
    <row r="296" spans="1:17">
      <c r="A296" t="s">
        <v>728</v>
      </c>
      <c r="B296" t="s">
        <v>729</v>
      </c>
      <c r="C296" s="1">
        <v>45870</v>
      </c>
      <c r="D296" t="s">
        <v>122</v>
      </c>
      <c r="E296" t="s">
        <v>72</v>
      </c>
      <c r="F296" t="s">
        <v>30</v>
      </c>
      <c r="G296" t="s">
        <v>16</v>
      </c>
      <c r="H296">
        <v>5</v>
      </c>
      <c r="I296">
        <v>13246.95</v>
      </c>
      <c r="J296">
        <v>0.1</v>
      </c>
      <c r="K296">
        <v>9050</v>
      </c>
      <c r="L296">
        <f>sales[[#This Row],[Quantity]]*sales[[#This Row],[UnitPrice]]</f>
        <v>66234.75</v>
      </c>
      <c r="M296">
        <f>sales[[#This Row],[GrossSales]]*sales[[#This Row],[DiscountRate]]</f>
        <v>6623.4750000000004</v>
      </c>
      <c r="N296">
        <f>sales[[#This Row],[GrossSales]]-sales[[#This Row],[DiscountAmount]]</f>
        <v>59611.275000000001</v>
      </c>
      <c r="O296">
        <f>sales[[#This Row],[Quantity]]*sales[[#This Row],[UnitCostAtSale]]</f>
        <v>45250</v>
      </c>
      <c r="P296">
        <f>sales[[#This Row],[SalesAfterDiscount]]-sales[[#This Row],[CostOfGoodsSold]]</f>
        <v>14361.275000000001</v>
      </c>
      <c r="Q296">
        <f>IFERROR(sales[[#This Row],[GrossProfit]]/sales[[#This Row],[SalesAfterDiscount]],0)</f>
        <v>0.24091541407225397</v>
      </c>
    </row>
    <row r="297" spans="1:17">
      <c r="A297" t="s">
        <v>730</v>
      </c>
      <c r="B297" t="s">
        <v>731</v>
      </c>
      <c r="C297" s="1">
        <v>45835</v>
      </c>
      <c r="D297" t="s">
        <v>286</v>
      </c>
      <c r="E297" t="s">
        <v>20</v>
      </c>
      <c r="F297" t="s">
        <v>134</v>
      </c>
      <c r="G297" t="s">
        <v>16</v>
      </c>
      <c r="H297">
        <v>4</v>
      </c>
      <c r="I297">
        <v>614.66</v>
      </c>
      <c r="J297">
        <v>0.2</v>
      </c>
      <c r="K297">
        <v>400</v>
      </c>
      <c r="L297">
        <f>sales[[#This Row],[Quantity]]*sales[[#This Row],[UnitPrice]]</f>
        <v>2458.64</v>
      </c>
      <c r="M297">
        <f>sales[[#This Row],[GrossSales]]*sales[[#This Row],[DiscountRate]]</f>
        <v>491.72800000000001</v>
      </c>
      <c r="N297">
        <f>sales[[#This Row],[GrossSales]]-sales[[#This Row],[DiscountAmount]]</f>
        <v>1966.9119999999998</v>
      </c>
      <c r="O297">
        <f>sales[[#This Row],[Quantity]]*sales[[#This Row],[UnitCostAtSale]]</f>
        <v>1600</v>
      </c>
      <c r="P297">
        <f>sales[[#This Row],[SalesAfterDiscount]]-sales[[#This Row],[CostOfGoodsSold]]</f>
        <v>366.91199999999981</v>
      </c>
      <c r="Q297">
        <f>IFERROR(sales[[#This Row],[GrossProfit]]/sales[[#This Row],[SalesAfterDiscount]],0)</f>
        <v>0.18654215338561148</v>
      </c>
    </row>
    <row r="298" spans="1:17">
      <c r="A298" t="s">
        <v>732</v>
      </c>
      <c r="B298" t="s">
        <v>733</v>
      </c>
      <c r="C298" s="1">
        <v>45928</v>
      </c>
      <c r="D298" t="s">
        <v>49</v>
      </c>
      <c r="E298" t="s">
        <v>50</v>
      </c>
      <c r="F298" t="s">
        <v>92</v>
      </c>
      <c r="G298" t="s">
        <v>16</v>
      </c>
      <c r="H298">
        <v>5</v>
      </c>
      <c r="I298">
        <v>13787.88</v>
      </c>
      <c r="J298">
        <v>0.15</v>
      </c>
      <c r="K298">
        <v>9500</v>
      </c>
      <c r="L298">
        <f>sales[[#This Row],[Quantity]]*sales[[#This Row],[UnitPrice]]</f>
        <v>68939.399999999994</v>
      </c>
      <c r="M298">
        <f>sales[[#This Row],[GrossSales]]*sales[[#This Row],[DiscountRate]]</f>
        <v>10340.909999999998</v>
      </c>
      <c r="N298">
        <f>sales[[#This Row],[GrossSales]]-sales[[#This Row],[DiscountAmount]]</f>
        <v>58598.49</v>
      </c>
      <c r="O298">
        <f>sales[[#This Row],[Quantity]]*sales[[#This Row],[UnitCostAtSale]]</f>
        <v>47500</v>
      </c>
      <c r="P298">
        <f>sales[[#This Row],[SalesAfterDiscount]]-sales[[#This Row],[CostOfGoodsSold]]</f>
        <v>11098.489999999998</v>
      </c>
      <c r="Q298">
        <f>IFERROR(sales[[#This Row],[GrossProfit]]/sales[[#This Row],[SalesAfterDiscount]],0)</f>
        <v>0.18939890771929443</v>
      </c>
    </row>
    <row r="299" spans="1:17">
      <c r="A299" t="s">
        <v>734</v>
      </c>
      <c r="B299" t="s">
        <v>735</v>
      </c>
      <c r="C299" s="1">
        <v>45963</v>
      </c>
      <c r="D299" t="s">
        <v>64</v>
      </c>
      <c r="E299" t="s">
        <v>20</v>
      </c>
      <c r="F299" t="s">
        <v>131</v>
      </c>
      <c r="G299" t="s">
        <v>22</v>
      </c>
      <c r="H299">
        <v>2</v>
      </c>
      <c r="I299">
        <v>2056.0100000000002</v>
      </c>
      <c r="J299">
        <v>0.1</v>
      </c>
      <c r="K299">
        <v>1350</v>
      </c>
      <c r="L299">
        <f>sales[[#This Row],[Quantity]]*sales[[#This Row],[UnitPrice]]</f>
        <v>4112.0200000000004</v>
      </c>
      <c r="M299">
        <f>sales[[#This Row],[GrossSales]]*sales[[#This Row],[DiscountRate]]</f>
        <v>411.20200000000006</v>
      </c>
      <c r="N299">
        <f>sales[[#This Row],[GrossSales]]-sales[[#This Row],[DiscountAmount]]</f>
        <v>3700.8180000000002</v>
      </c>
      <c r="O299">
        <f>sales[[#This Row],[Quantity]]*sales[[#This Row],[UnitCostAtSale]]</f>
        <v>2700</v>
      </c>
      <c r="P299">
        <f>sales[[#This Row],[SalesAfterDiscount]]-sales[[#This Row],[CostOfGoodsSold]]</f>
        <v>1000.8180000000002</v>
      </c>
      <c r="Q299">
        <f>IFERROR(sales[[#This Row],[GrossProfit]]/sales[[#This Row],[SalesAfterDiscount]],0)</f>
        <v>0.27043156404881302</v>
      </c>
    </row>
    <row r="300" spans="1:17">
      <c r="A300" t="s">
        <v>736</v>
      </c>
      <c r="B300" t="s">
        <v>737</v>
      </c>
      <c r="C300" s="1">
        <v>46158</v>
      </c>
      <c r="D300" t="s">
        <v>175</v>
      </c>
      <c r="E300" t="s">
        <v>20</v>
      </c>
      <c r="F300" t="s">
        <v>479</v>
      </c>
      <c r="G300" t="s">
        <v>16</v>
      </c>
      <c r="H300">
        <v>3</v>
      </c>
      <c r="I300">
        <v>2403.0700000000002</v>
      </c>
      <c r="J300">
        <v>0.15</v>
      </c>
      <c r="K300">
        <v>2000</v>
      </c>
      <c r="L300">
        <f>sales[[#This Row],[Quantity]]*sales[[#This Row],[UnitPrice]]</f>
        <v>7209.2100000000009</v>
      </c>
      <c r="M300">
        <f>sales[[#This Row],[GrossSales]]*sales[[#This Row],[DiscountRate]]</f>
        <v>1081.3815000000002</v>
      </c>
      <c r="N300">
        <f>sales[[#This Row],[GrossSales]]-sales[[#This Row],[DiscountAmount]]</f>
        <v>6127.8285000000005</v>
      </c>
      <c r="O300">
        <f>sales[[#This Row],[Quantity]]*sales[[#This Row],[UnitCostAtSale]]</f>
        <v>6000</v>
      </c>
      <c r="P300">
        <f>sales[[#This Row],[SalesAfterDiscount]]-sales[[#This Row],[CostOfGoodsSold]]</f>
        <v>127.82850000000053</v>
      </c>
      <c r="Q300">
        <f>IFERROR(sales[[#This Row],[GrossProfit]]/sales[[#This Row],[SalesAfterDiscount]],0)</f>
        <v>2.0860325970284664E-2</v>
      </c>
    </row>
    <row r="301" spans="1:17">
      <c r="A301" t="s">
        <v>738</v>
      </c>
      <c r="B301" t="s">
        <v>739</v>
      </c>
      <c r="C301" s="1">
        <v>45782</v>
      </c>
      <c r="D301" t="s">
        <v>155</v>
      </c>
      <c r="E301" t="s">
        <v>72</v>
      </c>
      <c r="F301" t="s">
        <v>419</v>
      </c>
      <c r="G301" t="s">
        <v>16</v>
      </c>
      <c r="H301">
        <v>5</v>
      </c>
      <c r="I301">
        <v>17046.37</v>
      </c>
      <c r="J301">
        <v>0.2</v>
      </c>
      <c r="K301">
        <v>11700</v>
      </c>
      <c r="L301">
        <f>sales[[#This Row],[Quantity]]*sales[[#This Row],[UnitPrice]]</f>
        <v>85231.849999999991</v>
      </c>
      <c r="M301">
        <f>sales[[#This Row],[GrossSales]]*sales[[#This Row],[DiscountRate]]</f>
        <v>17046.37</v>
      </c>
      <c r="N301">
        <f>sales[[#This Row],[GrossSales]]-sales[[#This Row],[DiscountAmount]]</f>
        <v>68185.48</v>
      </c>
      <c r="O301">
        <f>sales[[#This Row],[Quantity]]*sales[[#This Row],[UnitCostAtSale]]</f>
        <v>58500</v>
      </c>
      <c r="P301">
        <f>sales[[#This Row],[SalesAfterDiscount]]-sales[[#This Row],[CostOfGoodsSold]]</f>
        <v>9685.4799999999959</v>
      </c>
      <c r="Q301">
        <f>IFERROR(sales[[#This Row],[GrossProfit]]/sales[[#This Row],[SalesAfterDiscount]],0)</f>
        <v>0.14204607784531248</v>
      </c>
    </row>
    <row r="302" spans="1:17">
      <c r="A302" t="s">
        <v>740</v>
      </c>
      <c r="B302" t="s">
        <v>741</v>
      </c>
      <c r="C302" s="1">
        <v>45807</v>
      </c>
      <c r="D302" t="s">
        <v>202</v>
      </c>
      <c r="E302" t="s">
        <v>20</v>
      </c>
      <c r="F302" t="s">
        <v>626</v>
      </c>
      <c r="G302" t="s">
        <v>22</v>
      </c>
      <c r="H302">
        <v>3</v>
      </c>
      <c r="I302">
        <v>3559.5</v>
      </c>
      <c r="J302">
        <v>0</v>
      </c>
      <c r="K302">
        <v>2250</v>
      </c>
      <c r="L302">
        <f>sales[[#This Row],[Quantity]]*sales[[#This Row],[UnitPrice]]</f>
        <v>10678.5</v>
      </c>
      <c r="M302">
        <f>sales[[#This Row],[GrossSales]]*sales[[#This Row],[DiscountRate]]</f>
        <v>0</v>
      </c>
      <c r="N302">
        <f>sales[[#This Row],[GrossSales]]-sales[[#This Row],[DiscountAmount]]</f>
        <v>10678.5</v>
      </c>
      <c r="O302">
        <f>sales[[#This Row],[Quantity]]*sales[[#This Row],[UnitCostAtSale]]</f>
        <v>6750</v>
      </c>
      <c r="P302">
        <f>sales[[#This Row],[SalesAfterDiscount]]-sales[[#This Row],[CostOfGoodsSold]]</f>
        <v>3928.5</v>
      </c>
      <c r="Q302">
        <f>IFERROR(sales[[#This Row],[GrossProfit]]/sales[[#This Row],[SalesAfterDiscount]],0)</f>
        <v>0.36788874841972186</v>
      </c>
    </row>
    <row r="303" spans="1:17">
      <c r="A303" t="s">
        <v>742</v>
      </c>
      <c r="B303" t="s">
        <v>743</v>
      </c>
      <c r="C303" s="1">
        <v>46110</v>
      </c>
      <c r="D303" t="s">
        <v>13</v>
      </c>
      <c r="E303" t="s">
        <v>50</v>
      </c>
      <c r="F303" t="s">
        <v>241</v>
      </c>
      <c r="G303" t="s">
        <v>16</v>
      </c>
      <c r="H303">
        <v>3</v>
      </c>
      <c r="I303">
        <v>6484.94</v>
      </c>
      <c r="J303">
        <v>0.15</v>
      </c>
      <c r="K303">
        <v>4300</v>
      </c>
      <c r="L303">
        <f>sales[[#This Row],[Quantity]]*sales[[#This Row],[UnitPrice]]</f>
        <v>19454.82</v>
      </c>
      <c r="M303">
        <f>sales[[#This Row],[GrossSales]]*sales[[#This Row],[DiscountRate]]</f>
        <v>2918.223</v>
      </c>
      <c r="N303">
        <f>sales[[#This Row],[GrossSales]]-sales[[#This Row],[DiscountAmount]]</f>
        <v>16536.597000000002</v>
      </c>
      <c r="O303">
        <f>sales[[#This Row],[Quantity]]*sales[[#This Row],[UnitCostAtSale]]</f>
        <v>12900</v>
      </c>
      <c r="P303">
        <f>sales[[#This Row],[SalesAfterDiscount]]-sales[[#This Row],[CostOfGoodsSold]]</f>
        <v>3636.5970000000016</v>
      </c>
      <c r="Q303">
        <f>IFERROR(sales[[#This Row],[GrossProfit]]/sales[[#This Row],[SalesAfterDiscount]],0)</f>
        <v>0.21991205324771482</v>
      </c>
    </row>
    <row r="304" spans="1:17">
      <c r="A304" t="s">
        <v>744</v>
      </c>
      <c r="B304" t="s">
        <v>745</v>
      </c>
      <c r="C304" s="1">
        <v>45936</v>
      </c>
      <c r="D304" t="s">
        <v>99</v>
      </c>
      <c r="E304" t="s">
        <v>46</v>
      </c>
      <c r="F304" t="s">
        <v>329</v>
      </c>
      <c r="G304" t="s">
        <v>22</v>
      </c>
      <c r="H304">
        <v>2</v>
      </c>
      <c r="I304">
        <v>10644.48</v>
      </c>
      <c r="J304">
        <v>0</v>
      </c>
      <c r="K304">
        <v>7050</v>
      </c>
      <c r="L304">
        <f>sales[[#This Row],[Quantity]]*sales[[#This Row],[UnitPrice]]</f>
        <v>21288.959999999999</v>
      </c>
      <c r="M304">
        <f>sales[[#This Row],[GrossSales]]*sales[[#This Row],[DiscountRate]]</f>
        <v>0</v>
      </c>
      <c r="N304">
        <f>sales[[#This Row],[GrossSales]]-sales[[#This Row],[DiscountAmount]]</f>
        <v>21288.959999999999</v>
      </c>
      <c r="O304">
        <f>sales[[#This Row],[Quantity]]*sales[[#This Row],[UnitCostAtSale]]</f>
        <v>14100</v>
      </c>
      <c r="P304">
        <f>sales[[#This Row],[SalesAfterDiscount]]-sales[[#This Row],[CostOfGoodsSold]]</f>
        <v>7188.9599999999991</v>
      </c>
      <c r="Q304">
        <f>IFERROR(sales[[#This Row],[GrossProfit]]/sales[[#This Row],[SalesAfterDiscount]],0)</f>
        <v>0.33768488455988455</v>
      </c>
    </row>
    <row r="305" spans="1:17">
      <c r="A305" t="s">
        <v>746</v>
      </c>
      <c r="B305" t="s">
        <v>747</v>
      </c>
      <c r="C305" s="1">
        <v>45709</v>
      </c>
      <c r="D305" t="s">
        <v>25</v>
      </c>
      <c r="E305" t="s">
        <v>50</v>
      </c>
      <c r="F305" t="s">
        <v>68</v>
      </c>
      <c r="G305" t="s">
        <v>22</v>
      </c>
      <c r="H305">
        <v>5</v>
      </c>
      <c r="I305">
        <v>18592.419999999998</v>
      </c>
      <c r="J305">
        <v>0.05</v>
      </c>
      <c r="K305">
        <v>14600</v>
      </c>
      <c r="L305">
        <f>sales[[#This Row],[Quantity]]*sales[[#This Row],[UnitPrice]]</f>
        <v>92962.099999999991</v>
      </c>
      <c r="M305">
        <f>sales[[#This Row],[GrossSales]]*sales[[#This Row],[DiscountRate]]</f>
        <v>4648.1049999999996</v>
      </c>
      <c r="N305">
        <f>sales[[#This Row],[GrossSales]]-sales[[#This Row],[DiscountAmount]]</f>
        <v>88313.994999999995</v>
      </c>
      <c r="O305">
        <f>sales[[#This Row],[Quantity]]*sales[[#This Row],[UnitCostAtSale]]</f>
        <v>73000</v>
      </c>
      <c r="P305">
        <f>sales[[#This Row],[SalesAfterDiscount]]-sales[[#This Row],[CostOfGoodsSold]]</f>
        <v>15313.994999999995</v>
      </c>
      <c r="Q305">
        <f>IFERROR(sales[[#This Row],[GrossProfit]]/sales[[#This Row],[SalesAfterDiscount]],0)</f>
        <v>0.17340394350861374</v>
      </c>
    </row>
    <row r="306" spans="1:17">
      <c r="A306" t="s">
        <v>748</v>
      </c>
      <c r="B306" t="s">
        <v>749</v>
      </c>
      <c r="C306" s="1">
        <v>45996</v>
      </c>
      <c r="D306" t="s">
        <v>316</v>
      </c>
      <c r="E306" t="s">
        <v>50</v>
      </c>
      <c r="F306" t="s">
        <v>77</v>
      </c>
      <c r="G306" t="s">
        <v>22</v>
      </c>
      <c r="H306">
        <v>4</v>
      </c>
      <c r="I306">
        <v>9371.8700000000008</v>
      </c>
      <c r="J306">
        <v>0</v>
      </c>
      <c r="K306">
        <v>5750</v>
      </c>
      <c r="L306">
        <f>sales[[#This Row],[Quantity]]*sales[[#This Row],[UnitPrice]]</f>
        <v>37487.480000000003</v>
      </c>
      <c r="M306">
        <f>sales[[#This Row],[GrossSales]]*sales[[#This Row],[DiscountRate]]</f>
        <v>0</v>
      </c>
      <c r="N306">
        <f>sales[[#This Row],[GrossSales]]-sales[[#This Row],[DiscountAmount]]</f>
        <v>37487.480000000003</v>
      </c>
      <c r="O306">
        <f>sales[[#This Row],[Quantity]]*sales[[#This Row],[UnitCostAtSale]]</f>
        <v>23000</v>
      </c>
      <c r="P306">
        <f>sales[[#This Row],[SalesAfterDiscount]]-sales[[#This Row],[CostOfGoodsSold]]</f>
        <v>14487.480000000003</v>
      </c>
      <c r="Q306">
        <f>IFERROR(sales[[#This Row],[GrossProfit]]/sales[[#This Row],[SalesAfterDiscount]],0)</f>
        <v>0.38646182672188162</v>
      </c>
    </row>
    <row r="307" spans="1:17">
      <c r="A307" t="s">
        <v>750</v>
      </c>
      <c r="B307" t="s">
        <v>751</v>
      </c>
      <c r="C307" s="1">
        <v>46145</v>
      </c>
      <c r="D307" t="s">
        <v>316</v>
      </c>
      <c r="E307" t="s">
        <v>20</v>
      </c>
      <c r="F307" t="s">
        <v>172</v>
      </c>
      <c r="G307" t="s">
        <v>16</v>
      </c>
      <c r="H307">
        <v>4</v>
      </c>
      <c r="I307">
        <v>9371.8700000000008</v>
      </c>
      <c r="J307">
        <v>0.05</v>
      </c>
      <c r="K307">
        <v>5750</v>
      </c>
      <c r="L307">
        <f>sales[[#This Row],[Quantity]]*sales[[#This Row],[UnitPrice]]</f>
        <v>37487.480000000003</v>
      </c>
      <c r="M307">
        <f>sales[[#This Row],[GrossSales]]*sales[[#This Row],[DiscountRate]]</f>
        <v>1874.3740000000003</v>
      </c>
      <c r="N307">
        <f>sales[[#This Row],[GrossSales]]-sales[[#This Row],[DiscountAmount]]</f>
        <v>35613.106</v>
      </c>
      <c r="O307">
        <f>sales[[#This Row],[Quantity]]*sales[[#This Row],[UnitCostAtSale]]</f>
        <v>23000</v>
      </c>
      <c r="P307">
        <f>sales[[#This Row],[SalesAfterDiscount]]-sales[[#This Row],[CostOfGoodsSold]]</f>
        <v>12613.106</v>
      </c>
      <c r="Q307">
        <f>IFERROR(sales[[#This Row],[GrossProfit]]/sales[[#This Row],[SalesAfterDiscount]],0)</f>
        <v>0.35417034391777003</v>
      </c>
    </row>
    <row r="308" spans="1:17">
      <c r="A308" t="s">
        <v>752</v>
      </c>
      <c r="B308" t="s">
        <v>753</v>
      </c>
      <c r="C308" s="1">
        <v>45718</v>
      </c>
      <c r="D308" t="s">
        <v>130</v>
      </c>
      <c r="E308" t="s">
        <v>50</v>
      </c>
      <c r="F308" t="s">
        <v>754</v>
      </c>
      <c r="G308" t="s">
        <v>22</v>
      </c>
      <c r="H308">
        <v>1</v>
      </c>
      <c r="I308">
        <v>12166.11</v>
      </c>
      <c r="J308">
        <v>0.2</v>
      </c>
      <c r="K308">
        <v>7750</v>
      </c>
      <c r="L308">
        <f>sales[[#This Row],[Quantity]]*sales[[#This Row],[UnitPrice]]</f>
        <v>12166.11</v>
      </c>
      <c r="M308">
        <f>sales[[#This Row],[GrossSales]]*sales[[#This Row],[DiscountRate]]</f>
        <v>2433.2220000000002</v>
      </c>
      <c r="N308">
        <f>sales[[#This Row],[GrossSales]]-sales[[#This Row],[DiscountAmount]]</f>
        <v>9732.8880000000008</v>
      </c>
      <c r="O308">
        <f>sales[[#This Row],[Quantity]]*sales[[#This Row],[UnitCostAtSale]]</f>
        <v>7750</v>
      </c>
      <c r="P308">
        <f>sales[[#This Row],[SalesAfterDiscount]]-sales[[#This Row],[CostOfGoodsSold]]</f>
        <v>1982.8880000000008</v>
      </c>
      <c r="Q308">
        <f>IFERROR(sales[[#This Row],[GrossProfit]]/sales[[#This Row],[SalesAfterDiscount]],0)</f>
        <v>0.20373069123984583</v>
      </c>
    </row>
    <row r="309" spans="1:17">
      <c r="A309" t="s">
        <v>755</v>
      </c>
      <c r="B309" t="s">
        <v>756</v>
      </c>
      <c r="C309" s="1">
        <v>45837</v>
      </c>
      <c r="D309" t="s">
        <v>99</v>
      </c>
      <c r="E309" t="s">
        <v>14</v>
      </c>
      <c r="F309" t="s">
        <v>419</v>
      </c>
      <c r="G309" t="s">
        <v>16</v>
      </c>
      <c r="H309">
        <v>4</v>
      </c>
      <c r="I309">
        <v>10644.48</v>
      </c>
      <c r="J309">
        <v>0.05</v>
      </c>
      <c r="K309">
        <v>7050</v>
      </c>
      <c r="L309">
        <f>sales[[#This Row],[Quantity]]*sales[[#This Row],[UnitPrice]]</f>
        <v>42577.919999999998</v>
      </c>
      <c r="M309">
        <f>sales[[#This Row],[GrossSales]]*sales[[#This Row],[DiscountRate]]</f>
        <v>2128.8960000000002</v>
      </c>
      <c r="N309">
        <f>sales[[#This Row],[GrossSales]]-sales[[#This Row],[DiscountAmount]]</f>
        <v>40449.023999999998</v>
      </c>
      <c r="O309">
        <f>sales[[#This Row],[Quantity]]*sales[[#This Row],[UnitCostAtSale]]</f>
        <v>28200</v>
      </c>
      <c r="P309">
        <f>sales[[#This Row],[SalesAfterDiscount]]-sales[[#This Row],[CostOfGoodsSold]]</f>
        <v>12249.023999999998</v>
      </c>
      <c r="Q309">
        <f>IFERROR(sales[[#This Row],[GrossProfit]]/sales[[#This Row],[SalesAfterDiscount]],0)</f>
        <v>0.30282619427356267</v>
      </c>
    </row>
    <row r="310" spans="1:17">
      <c r="A310" t="s">
        <v>757</v>
      </c>
      <c r="B310" t="s">
        <v>758</v>
      </c>
      <c r="C310" s="1">
        <v>45954</v>
      </c>
      <c r="D310" t="s">
        <v>313</v>
      </c>
      <c r="E310" t="s">
        <v>20</v>
      </c>
      <c r="F310" t="s">
        <v>759</v>
      </c>
      <c r="G310" t="s">
        <v>22</v>
      </c>
      <c r="H310">
        <v>1</v>
      </c>
      <c r="I310">
        <v>3335.18</v>
      </c>
      <c r="J310">
        <v>0</v>
      </c>
      <c r="K310">
        <v>2600</v>
      </c>
      <c r="L310">
        <f>sales[[#This Row],[Quantity]]*sales[[#This Row],[UnitPrice]]</f>
        <v>3335.18</v>
      </c>
      <c r="M310">
        <f>sales[[#This Row],[GrossSales]]*sales[[#This Row],[DiscountRate]]</f>
        <v>0</v>
      </c>
      <c r="N310">
        <f>sales[[#This Row],[GrossSales]]-sales[[#This Row],[DiscountAmount]]</f>
        <v>3335.18</v>
      </c>
      <c r="O310">
        <f>sales[[#This Row],[Quantity]]*sales[[#This Row],[UnitCostAtSale]]</f>
        <v>2600</v>
      </c>
      <c r="P310">
        <f>sales[[#This Row],[SalesAfterDiscount]]-sales[[#This Row],[CostOfGoodsSold]]</f>
        <v>735.17999999999984</v>
      </c>
      <c r="Q310">
        <f>IFERROR(sales[[#This Row],[GrossProfit]]/sales[[#This Row],[SalesAfterDiscount]],0)</f>
        <v>0.22043188073807107</v>
      </c>
    </row>
    <row r="311" spans="1:17">
      <c r="A311" t="s">
        <v>760</v>
      </c>
      <c r="B311" t="s">
        <v>761</v>
      </c>
      <c r="C311" s="1">
        <v>46001</v>
      </c>
      <c r="D311" t="s">
        <v>99</v>
      </c>
      <c r="E311" t="s">
        <v>46</v>
      </c>
      <c r="F311" t="s">
        <v>30</v>
      </c>
      <c r="G311" t="s">
        <v>16</v>
      </c>
      <c r="H311">
        <v>3</v>
      </c>
      <c r="I311">
        <v>10644.48</v>
      </c>
      <c r="J311">
        <v>0.15</v>
      </c>
      <c r="K311">
        <v>7050</v>
      </c>
      <c r="L311">
        <f>sales[[#This Row],[Quantity]]*sales[[#This Row],[UnitPrice]]</f>
        <v>31933.439999999999</v>
      </c>
      <c r="M311">
        <f>sales[[#This Row],[GrossSales]]*sales[[#This Row],[DiscountRate]]</f>
        <v>4790.0159999999996</v>
      </c>
      <c r="N311">
        <f>sales[[#This Row],[GrossSales]]-sales[[#This Row],[DiscountAmount]]</f>
        <v>27143.423999999999</v>
      </c>
      <c r="O311">
        <f>sales[[#This Row],[Quantity]]*sales[[#This Row],[UnitCostAtSale]]</f>
        <v>21150</v>
      </c>
      <c r="P311">
        <f>sales[[#This Row],[SalesAfterDiscount]]-sales[[#This Row],[CostOfGoodsSold]]</f>
        <v>5993.4239999999991</v>
      </c>
      <c r="Q311">
        <f>IFERROR(sales[[#This Row],[GrossProfit]]/sales[[#This Row],[SalesAfterDiscount]],0)</f>
        <v>0.22080574654104063</v>
      </c>
    </row>
    <row r="312" spans="1:17">
      <c r="A312" t="s">
        <v>762</v>
      </c>
      <c r="B312" t="s">
        <v>763</v>
      </c>
      <c r="C312" s="1">
        <v>45795</v>
      </c>
      <c r="D312" t="s">
        <v>45</v>
      </c>
      <c r="E312" t="s">
        <v>20</v>
      </c>
      <c r="F312" t="s">
        <v>61</v>
      </c>
      <c r="G312" t="s">
        <v>22</v>
      </c>
      <c r="H312">
        <v>5</v>
      </c>
      <c r="I312">
        <v>11889.76</v>
      </c>
      <c r="J312">
        <v>0.15</v>
      </c>
      <c r="K312">
        <v>9300</v>
      </c>
      <c r="L312">
        <f>sales[[#This Row],[Quantity]]*sales[[#This Row],[UnitPrice]]</f>
        <v>59448.800000000003</v>
      </c>
      <c r="M312">
        <f>sales[[#This Row],[GrossSales]]*sales[[#This Row],[DiscountRate]]</f>
        <v>8917.32</v>
      </c>
      <c r="N312">
        <f>sales[[#This Row],[GrossSales]]-sales[[#This Row],[DiscountAmount]]</f>
        <v>50531.48</v>
      </c>
      <c r="O312">
        <f>sales[[#This Row],[Quantity]]*sales[[#This Row],[UnitCostAtSale]]</f>
        <v>46500</v>
      </c>
      <c r="P312">
        <f>sales[[#This Row],[SalesAfterDiscount]]-sales[[#This Row],[CostOfGoodsSold]]</f>
        <v>4031.4800000000032</v>
      </c>
      <c r="Q312">
        <f>IFERROR(sales[[#This Row],[GrossProfit]]/sales[[#This Row],[SalesAfterDiscount]],0)</f>
        <v>7.9781553993668958E-2</v>
      </c>
    </row>
    <row r="313" spans="1:17">
      <c r="A313" t="s">
        <v>764</v>
      </c>
      <c r="B313" t="s">
        <v>765</v>
      </c>
      <c r="C313" s="1">
        <v>45824</v>
      </c>
      <c r="D313" t="s">
        <v>286</v>
      </c>
      <c r="E313" t="s">
        <v>50</v>
      </c>
      <c r="F313" t="s">
        <v>103</v>
      </c>
      <c r="G313" t="s">
        <v>16</v>
      </c>
      <c r="H313">
        <v>4</v>
      </c>
      <c r="I313">
        <v>614.66</v>
      </c>
      <c r="J313">
        <v>0.1</v>
      </c>
      <c r="K313">
        <v>400</v>
      </c>
      <c r="L313">
        <f>sales[[#This Row],[Quantity]]*sales[[#This Row],[UnitPrice]]</f>
        <v>2458.64</v>
      </c>
      <c r="M313">
        <f>sales[[#This Row],[GrossSales]]*sales[[#This Row],[DiscountRate]]</f>
        <v>245.864</v>
      </c>
      <c r="N313">
        <f>sales[[#This Row],[GrossSales]]-sales[[#This Row],[DiscountAmount]]</f>
        <v>2212.7759999999998</v>
      </c>
      <c r="O313">
        <f>sales[[#This Row],[Quantity]]*sales[[#This Row],[UnitCostAtSale]]</f>
        <v>1600</v>
      </c>
      <c r="P313">
        <f>sales[[#This Row],[SalesAfterDiscount]]-sales[[#This Row],[CostOfGoodsSold]]</f>
        <v>612.77599999999984</v>
      </c>
      <c r="Q313">
        <f>IFERROR(sales[[#This Row],[GrossProfit]]/sales[[#This Row],[SalesAfterDiscount]],0)</f>
        <v>0.27692635856498798</v>
      </c>
    </row>
    <row r="314" spans="1:17">
      <c r="A314" t="s">
        <v>766</v>
      </c>
      <c r="B314" t="s">
        <v>767</v>
      </c>
      <c r="C314" s="1">
        <v>45960</v>
      </c>
      <c r="D314" t="s">
        <v>416</v>
      </c>
      <c r="E314" t="s">
        <v>50</v>
      </c>
      <c r="F314" t="s">
        <v>388</v>
      </c>
      <c r="G314" t="s">
        <v>16</v>
      </c>
      <c r="H314">
        <v>5</v>
      </c>
      <c r="I314">
        <v>3804.25</v>
      </c>
      <c r="J314">
        <v>0.05</v>
      </c>
      <c r="K314">
        <v>2800</v>
      </c>
      <c r="L314">
        <f>sales[[#This Row],[Quantity]]*sales[[#This Row],[UnitPrice]]</f>
        <v>19021.25</v>
      </c>
      <c r="M314">
        <f>sales[[#This Row],[GrossSales]]*sales[[#This Row],[DiscountRate]]</f>
        <v>951.0625</v>
      </c>
      <c r="N314">
        <f>sales[[#This Row],[GrossSales]]-sales[[#This Row],[DiscountAmount]]</f>
        <v>18070.1875</v>
      </c>
      <c r="O314">
        <f>sales[[#This Row],[Quantity]]*sales[[#This Row],[UnitCostAtSale]]</f>
        <v>14000</v>
      </c>
      <c r="P314">
        <f>sales[[#This Row],[SalesAfterDiscount]]-sales[[#This Row],[CostOfGoodsSold]]</f>
        <v>4070.1875</v>
      </c>
      <c r="Q314">
        <f>IFERROR(sales[[#This Row],[GrossProfit]]/sales[[#This Row],[SalesAfterDiscount]],0)</f>
        <v>0.22524323557793741</v>
      </c>
    </row>
    <row r="315" spans="1:17">
      <c r="A315" t="s">
        <v>768</v>
      </c>
      <c r="B315" t="s">
        <v>769</v>
      </c>
      <c r="C315" s="1">
        <v>46095</v>
      </c>
      <c r="D315" t="s">
        <v>126</v>
      </c>
      <c r="E315" t="s">
        <v>14</v>
      </c>
      <c r="F315" t="s">
        <v>156</v>
      </c>
      <c r="G315" t="s">
        <v>22</v>
      </c>
      <c r="H315">
        <v>5</v>
      </c>
      <c r="I315">
        <v>17523.439999999999</v>
      </c>
      <c r="J315">
        <v>0.1</v>
      </c>
      <c r="K315">
        <v>11850</v>
      </c>
      <c r="L315">
        <f>sales[[#This Row],[Quantity]]*sales[[#This Row],[UnitPrice]]</f>
        <v>87617.2</v>
      </c>
      <c r="M315">
        <f>sales[[#This Row],[GrossSales]]*sales[[#This Row],[DiscountRate]]</f>
        <v>8761.7199999999993</v>
      </c>
      <c r="N315">
        <f>sales[[#This Row],[GrossSales]]-sales[[#This Row],[DiscountAmount]]</f>
        <v>78855.48</v>
      </c>
      <c r="O315">
        <f>sales[[#This Row],[Quantity]]*sales[[#This Row],[UnitCostAtSale]]</f>
        <v>59250</v>
      </c>
      <c r="P315">
        <f>sales[[#This Row],[SalesAfterDiscount]]-sales[[#This Row],[CostOfGoodsSold]]</f>
        <v>19605.479999999996</v>
      </c>
      <c r="Q315">
        <f>IFERROR(sales[[#This Row],[GrossProfit]]/sales[[#This Row],[SalesAfterDiscount]],0)</f>
        <v>0.2486254601455726</v>
      </c>
    </row>
    <row r="316" spans="1:17">
      <c r="A316" t="s">
        <v>770</v>
      </c>
      <c r="B316" t="s">
        <v>771</v>
      </c>
      <c r="C316" s="1">
        <v>45801</v>
      </c>
      <c r="D316" t="s">
        <v>313</v>
      </c>
      <c r="E316" t="s">
        <v>50</v>
      </c>
      <c r="F316" t="s">
        <v>77</v>
      </c>
      <c r="G316" t="s">
        <v>16</v>
      </c>
      <c r="H316">
        <v>4</v>
      </c>
      <c r="I316">
        <v>3335.18</v>
      </c>
      <c r="J316">
        <v>0.1</v>
      </c>
      <c r="K316">
        <v>2600</v>
      </c>
      <c r="L316">
        <f>sales[[#This Row],[Quantity]]*sales[[#This Row],[UnitPrice]]</f>
        <v>13340.72</v>
      </c>
      <c r="M316">
        <f>sales[[#This Row],[GrossSales]]*sales[[#This Row],[DiscountRate]]</f>
        <v>1334.0720000000001</v>
      </c>
      <c r="N316">
        <f>sales[[#This Row],[GrossSales]]-sales[[#This Row],[DiscountAmount]]</f>
        <v>12006.647999999999</v>
      </c>
      <c r="O316">
        <f>sales[[#This Row],[Quantity]]*sales[[#This Row],[UnitCostAtSale]]</f>
        <v>10400</v>
      </c>
      <c r="P316">
        <f>sales[[#This Row],[SalesAfterDiscount]]-sales[[#This Row],[CostOfGoodsSold]]</f>
        <v>1606.6479999999992</v>
      </c>
      <c r="Q316">
        <f>IFERROR(sales[[#This Row],[GrossProfit]]/sales[[#This Row],[SalesAfterDiscount]],0)</f>
        <v>0.13381320082007894</v>
      </c>
    </row>
    <row r="317" spans="1:17">
      <c r="A317" t="s">
        <v>772</v>
      </c>
      <c r="B317" t="s">
        <v>773</v>
      </c>
      <c r="C317" s="1">
        <v>45899</v>
      </c>
      <c r="D317" t="s">
        <v>151</v>
      </c>
      <c r="E317" t="s">
        <v>20</v>
      </c>
      <c r="F317" t="s">
        <v>220</v>
      </c>
      <c r="G317" t="s">
        <v>22</v>
      </c>
      <c r="H317">
        <v>4</v>
      </c>
      <c r="I317">
        <v>11729.87</v>
      </c>
      <c r="J317">
        <v>0.1</v>
      </c>
      <c r="K317">
        <v>8950</v>
      </c>
      <c r="L317">
        <f>sales[[#This Row],[Quantity]]*sales[[#This Row],[UnitPrice]]</f>
        <v>46919.48</v>
      </c>
      <c r="M317">
        <f>sales[[#This Row],[GrossSales]]*sales[[#This Row],[DiscountRate]]</f>
        <v>4691.9480000000003</v>
      </c>
      <c r="N317">
        <f>sales[[#This Row],[GrossSales]]-sales[[#This Row],[DiscountAmount]]</f>
        <v>42227.532000000007</v>
      </c>
      <c r="O317">
        <f>sales[[#This Row],[Quantity]]*sales[[#This Row],[UnitCostAtSale]]</f>
        <v>35800</v>
      </c>
      <c r="P317">
        <f>sales[[#This Row],[SalesAfterDiscount]]-sales[[#This Row],[CostOfGoodsSold]]</f>
        <v>6427.5320000000065</v>
      </c>
      <c r="Q317">
        <f>IFERROR(sales[[#This Row],[GrossProfit]]/sales[[#This Row],[SalesAfterDiscount]],0)</f>
        <v>0.15221187920714868</v>
      </c>
    </row>
    <row r="318" spans="1:17">
      <c r="A318" t="s">
        <v>774</v>
      </c>
      <c r="B318" t="s">
        <v>775</v>
      </c>
      <c r="C318" s="1">
        <v>46026</v>
      </c>
      <c r="D318" t="s">
        <v>80</v>
      </c>
      <c r="E318" t="s">
        <v>14</v>
      </c>
      <c r="F318" t="s">
        <v>199</v>
      </c>
      <c r="G318" t="s">
        <v>16</v>
      </c>
      <c r="H318">
        <v>2</v>
      </c>
      <c r="I318">
        <v>19555.88</v>
      </c>
      <c r="J318">
        <v>0</v>
      </c>
      <c r="K318">
        <v>14200</v>
      </c>
      <c r="L318">
        <f>sales[[#This Row],[Quantity]]*sales[[#This Row],[UnitPrice]]</f>
        <v>39111.760000000002</v>
      </c>
      <c r="M318">
        <f>sales[[#This Row],[GrossSales]]*sales[[#This Row],[DiscountRate]]</f>
        <v>0</v>
      </c>
      <c r="N318">
        <f>sales[[#This Row],[GrossSales]]-sales[[#This Row],[DiscountAmount]]</f>
        <v>39111.760000000002</v>
      </c>
      <c r="O318">
        <f>sales[[#This Row],[Quantity]]*sales[[#This Row],[UnitCostAtSale]]</f>
        <v>28400</v>
      </c>
      <c r="P318">
        <f>sales[[#This Row],[SalesAfterDiscount]]-sales[[#This Row],[CostOfGoodsSold]]</f>
        <v>10711.760000000002</v>
      </c>
      <c r="Q318">
        <f>IFERROR(sales[[#This Row],[GrossProfit]]/sales[[#This Row],[SalesAfterDiscount]],0)</f>
        <v>0.27387568342616136</v>
      </c>
    </row>
    <row r="319" spans="1:17">
      <c r="A319" t="s">
        <v>776</v>
      </c>
      <c r="B319" t="s">
        <v>777</v>
      </c>
      <c r="C319" s="1">
        <v>46073</v>
      </c>
      <c r="D319" t="s">
        <v>313</v>
      </c>
      <c r="E319" t="s">
        <v>14</v>
      </c>
      <c r="F319" t="s">
        <v>123</v>
      </c>
      <c r="G319" t="s">
        <v>16</v>
      </c>
      <c r="H319">
        <v>5</v>
      </c>
      <c r="I319">
        <v>3335.18</v>
      </c>
      <c r="J319">
        <v>0.1</v>
      </c>
      <c r="K319">
        <v>2600</v>
      </c>
      <c r="L319">
        <f>sales[[#This Row],[Quantity]]*sales[[#This Row],[UnitPrice]]</f>
        <v>16675.899999999998</v>
      </c>
      <c r="M319">
        <f>sales[[#This Row],[GrossSales]]*sales[[#This Row],[DiscountRate]]</f>
        <v>1667.59</v>
      </c>
      <c r="N319">
        <f>sales[[#This Row],[GrossSales]]-sales[[#This Row],[DiscountAmount]]</f>
        <v>15008.309999999998</v>
      </c>
      <c r="O319">
        <f>sales[[#This Row],[Quantity]]*sales[[#This Row],[UnitCostAtSale]]</f>
        <v>13000</v>
      </c>
      <c r="P319">
        <f>sales[[#This Row],[SalesAfterDiscount]]-sales[[#This Row],[CostOfGoodsSold]]</f>
        <v>2008.3099999999977</v>
      </c>
      <c r="Q319">
        <f>IFERROR(sales[[#This Row],[GrossProfit]]/sales[[#This Row],[SalesAfterDiscount]],0)</f>
        <v>0.13381320082007889</v>
      </c>
    </row>
    <row r="320" spans="1:17">
      <c r="A320" t="s">
        <v>778</v>
      </c>
      <c r="B320" t="s">
        <v>779</v>
      </c>
      <c r="C320" s="1">
        <v>45884</v>
      </c>
      <c r="D320" t="s">
        <v>13</v>
      </c>
      <c r="E320" t="s">
        <v>72</v>
      </c>
      <c r="F320" t="s">
        <v>474</v>
      </c>
      <c r="G320" t="s">
        <v>16</v>
      </c>
      <c r="H320">
        <v>2</v>
      </c>
      <c r="I320">
        <v>6484.94</v>
      </c>
      <c r="J320">
        <v>0.05</v>
      </c>
      <c r="K320">
        <v>4300</v>
      </c>
      <c r="L320">
        <f>sales[[#This Row],[Quantity]]*sales[[#This Row],[UnitPrice]]</f>
        <v>12969.88</v>
      </c>
      <c r="M320">
        <f>sales[[#This Row],[GrossSales]]*sales[[#This Row],[DiscountRate]]</f>
        <v>648.49400000000003</v>
      </c>
      <c r="N320">
        <f>sales[[#This Row],[GrossSales]]-sales[[#This Row],[DiscountAmount]]</f>
        <v>12321.385999999999</v>
      </c>
      <c r="O320">
        <f>sales[[#This Row],[Quantity]]*sales[[#This Row],[UnitCostAtSale]]</f>
        <v>8600</v>
      </c>
      <c r="P320">
        <f>sales[[#This Row],[SalesAfterDiscount]]-sales[[#This Row],[CostOfGoodsSold]]</f>
        <v>3721.3859999999986</v>
      </c>
      <c r="Q320">
        <f>IFERROR(sales[[#This Row],[GrossProfit]]/sales[[#This Row],[SalesAfterDiscount]],0)</f>
        <v>0.30202657395848154</v>
      </c>
    </row>
    <row r="321" spans="1:17">
      <c r="A321" t="s">
        <v>780</v>
      </c>
      <c r="B321" t="s">
        <v>781</v>
      </c>
      <c r="C321" s="1">
        <v>46040</v>
      </c>
      <c r="D321" t="s">
        <v>87</v>
      </c>
      <c r="E321" t="s">
        <v>72</v>
      </c>
      <c r="F321" t="s">
        <v>206</v>
      </c>
      <c r="G321" t="s">
        <v>22</v>
      </c>
      <c r="H321">
        <v>4</v>
      </c>
      <c r="I321">
        <v>9337.2199999999993</v>
      </c>
      <c r="J321">
        <v>0.2</v>
      </c>
      <c r="K321">
        <v>6050</v>
      </c>
      <c r="L321">
        <f>sales[[#This Row],[Quantity]]*sales[[#This Row],[UnitPrice]]</f>
        <v>37348.879999999997</v>
      </c>
      <c r="M321">
        <f>sales[[#This Row],[GrossSales]]*sales[[#This Row],[DiscountRate]]</f>
        <v>7469.7759999999998</v>
      </c>
      <c r="N321">
        <f>sales[[#This Row],[GrossSales]]-sales[[#This Row],[DiscountAmount]]</f>
        <v>29879.103999999999</v>
      </c>
      <c r="O321">
        <f>sales[[#This Row],[Quantity]]*sales[[#This Row],[UnitCostAtSale]]</f>
        <v>24200</v>
      </c>
      <c r="P321">
        <f>sales[[#This Row],[SalesAfterDiscount]]-sales[[#This Row],[CostOfGoodsSold]]</f>
        <v>5679.1039999999994</v>
      </c>
      <c r="Q321">
        <f>IFERROR(sales[[#This Row],[GrossProfit]]/sales[[#This Row],[SalesAfterDiscount]],0)</f>
        <v>0.19006942109107419</v>
      </c>
    </row>
    <row r="322" spans="1:17">
      <c r="A322" t="s">
        <v>782</v>
      </c>
      <c r="B322" t="s">
        <v>783</v>
      </c>
      <c r="C322" s="1">
        <v>45911</v>
      </c>
      <c r="D322" t="s">
        <v>202</v>
      </c>
      <c r="E322" t="s">
        <v>46</v>
      </c>
      <c r="F322" t="s">
        <v>468</v>
      </c>
      <c r="G322" t="s">
        <v>16</v>
      </c>
      <c r="H322">
        <v>5</v>
      </c>
      <c r="I322">
        <v>3559.5</v>
      </c>
      <c r="J322">
        <v>0</v>
      </c>
      <c r="K322">
        <v>2250</v>
      </c>
      <c r="L322">
        <f>sales[[#This Row],[Quantity]]*sales[[#This Row],[UnitPrice]]</f>
        <v>17797.5</v>
      </c>
      <c r="M322">
        <f>sales[[#This Row],[GrossSales]]*sales[[#This Row],[DiscountRate]]</f>
        <v>0</v>
      </c>
      <c r="N322">
        <f>sales[[#This Row],[GrossSales]]-sales[[#This Row],[DiscountAmount]]</f>
        <v>17797.5</v>
      </c>
      <c r="O322">
        <f>sales[[#This Row],[Quantity]]*sales[[#This Row],[UnitCostAtSale]]</f>
        <v>11250</v>
      </c>
      <c r="P322">
        <f>sales[[#This Row],[SalesAfterDiscount]]-sales[[#This Row],[CostOfGoodsSold]]</f>
        <v>6547.5</v>
      </c>
      <c r="Q322">
        <f>IFERROR(sales[[#This Row],[GrossProfit]]/sales[[#This Row],[SalesAfterDiscount]],0)</f>
        <v>0.36788874841972186</v>
      </c>
    </row>
    <row r="323" spans="1:17">
      <c r="A323" t="s">
        <v>784</v>
      </c>
      <c r="B323" t="s">
        <v>785</v>
      </c>
      <c r="C323" s="1">
        <v>45772</v>
      </c>
      <c r="D323" t="s">
        <v>71</v>
      </c>
      <c r="E323" t="s">
        <v>46</v>
      </c>
      <c r="F323" t="s">
        <v>241</v>
      </c>
      <c r="G323" t="s">
        <v>22</v>
      </c>
      <c r="H323">
        <v>1</v>
      </c>
      <c r="I323">
        <v>5799.34</v>
      </c>
      <c r="J323">
        <v>0.2</v>
      </c>
      <c r="K323">
        <v>3800</v>
      </c>
      <c r="L323">
        <f>sales[[#This Row],[Quantity]]*sales[[#This Row],[UnitPrice]]</f>
        <v>5799.34</v>
      </c>
      <c r="M323">
        <f>sales[[#This Row],[GrossSales]]*sales[[#This Row],[DiscountRate]]</f>
        <v>1159.8680000000002</v>
      </c>
      <c r="N323">
        <f>sales[[#This Row],[GrossSales]]-sales[[#This Row],[DiscountAmount]]</f>
        <v>4639.4719999999998</v>
      </c>
      <c r="O323">
        <f>sales[[#This Row],[Quantity]]*sales[[#This Row],[UnitCostAtSale]]</f>
        <v>3800</v>
      </c>
      <c r="P323">
        <f>sales[[#This Row],[SalesAfterDiscount]]-sales[[#This Row],[CostOfGoodsSold]]</f>
        <v>839.47199999999975</v>
      </c>
      <c r="Q323">
        <f>IFERROR(sales[[#This Row],[GrossProfit]]/sales[[#This Row],[SalesAfterDiscount]],0)</f>
        <v>0.1809412795249114</v>
      </c>
    </row>
    <row r="324" spans="1:17">
      <c r="A324" t="s">
        <v>786</v>
      </c>
      <c r="B324" t="s">
        <v>787</v>
      </c>
      <c r="C324" s="1">
        <v>45993</v>
      </c>
      <c r="D324" t="s">
        <v>313</v>
      </c>
      <c r="E324" t="s">
        <v>14</v>
      </c>
      <c r="F324" t="s">
        <v>788</v>
      </c>
      <c r="G324" t="s">
        <v>22</v>
      </c>
      <c r="H324">
        <v>5</v>
      </c>
      <c r="I324">
        <v>3335.18</v>
      </c>
      <c r="J324">
        <v>0.15</v>
      </c>
      <c r="K324">
        <v>2600</v>
      </c>
      <c r="L324">
        <f>sales[[#This Row],[Quantity]]*sales[[#This Row],[UnitPrice]]</f>
        <v>16675.899999999998</v>
      </c>
      <c r="M324">
        <f>sales[[#This Row],[GrossSales]]*sales[[#This Row],[DiscountRate]]</f>
        <v>2501.3849999999998</v>
      </c>
      <c r="N324">
        <f>sales[[#This Row],[GrossSales]]-sales[[#This Row],[DiscountAmount]]</f>
        <v>14174.514999999998</v>
      </c>
      <c r="O324">
        <f>sales[[#This Row],[Quantity]]*sales[[#This Row],[UnitCostAtSale]]</f>
        <v>13000</v>
      </c>
      <c r="P324">
        <f>sales[[#This Row],[SalesAfterDiscount]]-sales[[#This Row],[CostOfGoodsSold]]</f>
        <v>1174.5149999999976</v>
      </c>
      <c r="Q324">
        <f>IFERROR(sales[[#This Row],[GrossProfit]]/sales[[#This Row],[SalesAfterDiscount]],0)</f>
        <v>8.2861036162436438E-2</v>
      </c>
    </row>
    <row r="325" spans="1:17">
      <c r="A325" t="s">
        <v>789</v>
      </c>
      <c r="B325" t="s">
        <v>790</v>
      </c>
      <c r="C325" s="1">
        <v>46158</v>
      </c>
      <c r="D325" t="s">
        <v>175</v>
      </c>
      <c r="E325" t="s">
        <v>72</v>
      </c>
      <c r="F325" t="s">
        <v>791</v>
      </c>
      <c r="G325" t="s">
        <v>16</v>
      </c>
      <c r="H325">
        <v>1</v>
      </c>
      <c r="I325">
        <v>2403.0700000000002</v>
      </c>
      <c r="J325">
        <v>0.2</v>
      </c>
      <c r="K325">
        <v>2000</v>
      </c>
      <c r="L325">
        <f>sales[[#This Row],[Quantity]]*sales[[#This Row],[UnitPrice]]</f>
        <v>2403.0700000000002</v>
      </c>
      <c r="M325">
        <f>sales[[#This Row],[GrossSales]]*sales[[#This Row],[DiscountRate]]</f>
        <v>480.61400000000003</v>
      </c>
      <c r="N325">
        <f>sales[[#This Row],[GrossSales]]-sales[[#This Row],[DiscountAmount]]</f>
        <v>1922.4560000000001</v>
      </c>
      <c r="O325">
        <f>sales[[#This Row],[Quantity]]*sales[[#This Row],[UnitCostAtSale]]</f>
        <v>2000</v>
      </c>
      <c r="P325">
        <f>sales[[#This Row],[SalesAfterDiscount]]-sales[[#This Row],[CostOfGoodsSold]]</f>
        <v>-77.543999999999869</v>
      </c>
      <c r="Q325">
        <f>IFERROR(sales[[#This Row],[GrossProfit]]/sales[[#This Row],[SalesAfterDiscount]],0)</f>
        <v>-4.0335903656572566E-2</v>
      </c>
    </row>
    <row r="326" spans="1:17">
      <c r="A326" t="s">
        <v>792</v>
      </c>
      <c r="B326" t="s">
        <v>793</v>
      </c>
      <c r="C326" s="1">
        <v>46183</v>
      </c>
      <c r="D326" t="s">
        <v>29</v>
      </c>
      <c r="E326" t="s">
        <v>46</v>
      </c>
      <c r="F326" t="s">
        <v>791</v>
      </c>
      <c r="G326" t="s">
        <v>16</v>
      </c>
      <c r="H326">
        <v>4</v>
      </c>
      <c r="I326">
        <v>13204.06</v>
      </c>
      <c r="J326">
        <v>0.15</v>
      </c>
      <c r="K326">
        <v>11050</v>
      </c>
      <c r="L326">
        <f>sales[[#This Row],[Quantity]]*sales[[#This Row],[UnitPrice]]</f>
        <v>52816.24</v>
      </c>
      <c r="M326">
        <f>sales[[#This Row],[GrossSales]]*sales[[#This Row],[DiscountRate]]</f>
        <v>7922.4359999999997</v>
      </c>
      <c r="N326">
        <f>sales[[#This Row],[GrossSales]]-sales[[#This Row],[DiscountAmount]]</f>
        <v>44893.803999999996</v>
      </c>
      <c r="O326">
        <f>sales[[#This Row],[Quantity]]*sales[[#This Row],[UnitCostAtSale]]</f>
        <v>44200</v>
      </c>
      <c r="P326">
        <f>sales[[#This Row],[SalesAfterDiscount]]-sales[[#This Row],[CostOfGoodsSold]]</f>
        <v>693.80399999999645</v>
      </c>
      <c r="Q326">
        <f>IFERROR(sales[[#This Row],[GrossProfit]]/sales[[#This Row],[SalesAfterDiscount]],0)</f>
        <v>1.5454337529517359E-2</v>
      </c>
    </row>
    <row r="327" spans="1:17">
      <c r="A327" t="s">
        <v>794</v>
      </c>
      <c r="B327" t="s">
        <v>795</v>
      </c>
      <c r="C327" s="1">
        <v>45973</v>
      </c>
      <c r="D327" t="s">
        <v>49</v>
      </c>
      <c r="E327" t="s">
        <v>20</v>
      </c>
      <c r="F327" t="s">
        <v>77</v>
      </c>
      <c r="G327" t="s">
        <v>22</v>
      </c>
      <c r="H327">
        <v>1</v>
      </c>
      <c r="I327">
        <v>13787.88</v>
      </c>
      <c r="J327">
        <v>0.15</v>
      </c>
      <c r="K327">
        <v>9500</v>
      </c>
      <c r="L327">
        <f>sales[[#This Row],[Quantity]]*sales[[#This Row],[UnitPrice]]</f>
        <v>13787.88</v>
      </c>
      <c r="M327">
        <f>sales[[#This Row],[GrossSales]]*sales[[#This Row],[DiscountRate]]</f>
        <v>2068.1819999999998</v>
      </c>
      <c r="N327">
        <f>sales[[#This Row],[GrossSales]]-sales[[#This Row],[DiscountAmount]]</f>
        <v>11719.698</v>
      </c>
      <c r="O327">
        <f>sales[[#This Row],[Quantity]]*sales[[#This Row],[UnitCostAtSale]]</f>
        <v>9500</v>
      </c>
      <c r="P327">
        <f>sales[[#This Row],[SalesAfterDiscount]]-sales[[#This Row],[CostOfGoodsSold]]</f>
        <v>2219.6980000000003</v>
      </c>
      <c r="Q327">
        <f>IFERROR(sales[[#This Row],[GrossProfit]]/sales[[#This Row],[SalesAfterDiscount]],0)</f>
        <v>0.18939890771929449</v>
      </c>
    </row>
    <row r="328" spans="1:17">
      <c r="A328" t="s">
        <v>796</v>
      </c>
      <c r="B328" t="s">
        <v>797</v>
      </c>
      <c r="C328" s="1">
        <v>45732</v>
      </c>
      <c r="D328" t="s">
        <v>41</v>
      </c>
      <c r="E328" t="s">
        <v>20</v>
      </c>
      <c r="F328" t="s">
        <v>217</v>
      </c>
      <c r="G328" t="s">
        <v>22</v>
      </c>
      <c r="H328">
        <v>1</v>
      </c>
      <c r="I328">
        <v>17279.419999999998</v>
      </c>
      <c r="J328">
        <v>0.15</v>
      </c>
      <c r="K328">
        <v>13950</v>
      </c>
      <c r="L328">
        <f>sales[[#This Row],[Quantity]]*sales[[#This Row],[UnitPrice]]</f>
        <v>17279.419999999998</v>
      </c>
      <c r="M328">
        <f>sales[[#This Row],[GrossSales]]*sales[[#This Row],[DiscountRate]]</f>
        <v>2591.9129999999996</v>
      </c>
      <c r="N328">
        <f>sales[[#This Row],[GrossSales]]-sales[[#This Row],[DiscountAmount]]</f>
        <v>14687.506999999998</v>
      </c>
      <c r="O328">
        <f>sales[[#This Row],[Quantity]]*sales[[#This Row],[UnitCostAtSale]]</f>
        <v>13950</v>
      </c>
      <c r="P328">
        <f>sales[[#This Row],[SalesAfterDiscount]]-sales[[#This Row],[CostOfGoodsSold]]</f>
        <v>737.50699999999779</v>
      </c>
      <c r="Q328">
        <f>IFERROR(sales[[#This Row],[GrossProfit]]/sales[[#This Row],[SalesAfterDiscount]],0)</f>
        <v>5.0213218621785023E-2</v>
      </c>
    </row>
    <row r="329" spans="1:17">
      <c r="A329" t="s">
        <v>798</v>
      </c>
      <c r="B329" t="s">
        <v>799</v>
      </c>
      <c r="C329" s="1">
        <v>45719</v>
      </c>
      <c r="D329" t="s">
        <v>64</v>
      </c>
      <c r="E329" t="s">
        <v>14</v>
      </c>
      <c r="F329" t="s">
        <v>109</v>
      </c>
      <c r="G329" t="s">
        <v>16</v>
      </c>
      <c r="H329">
        <v>1</v>
      </c>
      <c r="I329">
        <v>2056.0100000000002</v>
      </c>
      <c r="J329">
        <v>0.15</v>
      </c>
      <c r="K329">
        <v>1350</v>
      </c>
      <c r="L329">
        <f>sales[[#This Row],[Quantity]]*sales[[#This Row],[UnitPrice]]</f>
        <v>2056.0100000000002</v>
      </c>
      <c r="M329">
        <f>sales[[#This Row],[GrossSales]]*sales[[#This Row],[DiscountRate]]</f>
        <v>308.4015</v>
      </c>
      <c r="N329">
        <f>sales[[#This Row],[GrossSales]]-sales[[#This Row],[DiscountAmount]]</f>
        <v>1747.6085000000003</v>
      </c>
      <c r="O329">
        <f>sales[[#This Row],[Quantity]]*sales[[#This Row],[UnitCostAtSale]]</f>
        <v>1350</v>
      </c>
      <c r="P329">
        <f>sales[[#This Row],[SalesAfterDiscount]]-sales[[#This Row],[CostOfGoodsSold]]</f>
        <v>397.60850000000028</v>
      </c>
      <c r="Q329">
        <f>IFERROR(sales[[#This Row],[GrossProfit]]/sales[[#This Row],[SalesAfterDiscount]],0)</f>
        <v>0.22751577369874329</v>
      </c>
    </row>
    <row r="330" spans="1:17">
      <c r="A330" t="s">
        <v>800</v>
      </c>
      <c r="B330" t="s">
        <v>801</v>
      </c>
      <c r="C330" s="1">
        <v>45796</v>
      </c>
      <c r="D330" t="s">
        <v>313</v>
      </c>
      <c r="E330" t="s">
        <v>72</v>
      </c>
      <c r="F330" t="s">
        <v>468</v>
      </c>
      <c r="G330" t="s">
        <v>16</v>
      </c>
      <c r="H330">
        <v>4</v>
      </c>
      <c r="I330">
        <v>3335.18</v>
      </c>
      <c r="J330">
        <v>0.1</v>
      </c>
      <c r="K330">
        <v>2600</v>
      </c>
      <c r="L330">
        <f>sales[[#This Row],[Quantity]]*sales[[#This Row],[UnitPrice]]</f>
        <v>13340.72</v>
      </c>
      <c r="M330">
        <f>sales[[#This Row],[GrossSales]]*sales[[#This Row],[DiscountRate]]</f>
        <v>1334.0720000000001</v>
      </c>
      <c r="N330">
        <f>sales[[#This Row],[GrossSales]]-sales[[#This Row],[DiscountAmount]]</f>
        <v>12006.647999999999</v>
      </c>
      <c r="O330">
        <f>sales[[#This Row],[Quantity]]*sales[[#This Row],[UnitCostAtSale]]</f>
        <v>10400</v>
      </c>
      <c r="P330">
        <f>sales[[#This Row],[SalesAfterDiscount]]-sales[[#This Row],[CostOfGoodsSold]]</f>
        <v>1606.6479999999992</v>
      </c>
      <c r="Q330">
        <f>IFERROR(sales[[#This Row],[GrossProfit]]/sales[[#This Row],[SalesAfterDiscount]],0)</f>
        <v>0.13381320082007894</v>
      </c>
    </row>
    <row r="331" spans="1:17">
      <c r="A331" t="s">
        <v>802</v>
      </c>
      <c r="B331" t="s">
        <v>803</v>
      </c>
      <c r="C331" s="1">
        <v>45740</v>
      </c>
      <c r="D331" t="s">
        <v>151</v>
      </c>
      <c r="E331" t="s">
        <v>20</v>
      </c>
      <c r="F331" t="s">
        <v>577</v>
      </c>
      <c r="G331" t="s">
        <v>22</v>
      </c>
      <c r="H331">
        <v>5</v>
      </c>
      <c r="I331">
        <v>11729.87</v>
      </c>
      <c r="J331">
        <v>0.05</v>
      </c>
      <c r="K331">
        <v>8950</v>
      </c>
      <c r="L331">
        <f>sales[[#This Row],[Quantity]]*sales[[#This Row],[UnitPrice]]</f>
        <v>58649.350000000006</v>
      </c>
      <c r="M331">
        <f>sales[[#This Row],[GrossSales]]*sales[[#This Row],[DiscountRate]]</f>
        <v>2932.4675000000007</v>
      </c>
      <c r="N331">
        <f>sales[[#This Row],[GrossSales]]-sales[[#This Row],[DiscountAmount]]</f>
        <v>55716.882500000007</v>
      </c>
      <c r="O331">
        <f>sales[[#This Row],[Quantity]]*sales[[#This Row],[UnitCostAtSale]]</f>
        <v>44750</v>
      </c>
      <c r="P331">
        <f>sales[[#This Row],[SalesAfterDiscount]]-sales[[#This Row],[CostOfGoodsSold]]</f>
        <v>10966.882500000007</v>
      </c>
      <c r="Q331">
        <f>IFERROR(sales[[#This Row],[GrossProfit]]/sales[[#This Row],[SalesAfterDiscount]],0)</f>
        <v>0.19683230661729872</v>
      </c>
    </row>
    <row r="332" spans="1:17">
      <c r="A332" t="s">
        <v>804</v>
      </c>
      <c r="B332" t="s">
        <v>805</v>
      </c>
      <c r="C332" s="1">
        <v>46060</v>
      </c>
      <c r="D332" t="s">
        <v>64</v>
      </c>
      <c r="E332" t="s">
        <v>50</v>
      </c>
      <c r="F332" t="s">
        <v>77</v>
      </c>
      <c r="G332" t="s">
        <v>22</v>
      </c>
      <c r="H332">
        <v>5</v>
      </c>
      <c r="I332">
        <v>2056.0100000000002</v>
      </c>
      <c r="J332">
        <v>0.05</v>
      </c>
      <c r="K332">
        <v>1350</v>
      </c>
      <c r="L332">
        <f>sales[[#This Row],[Quantity]]*sales[[#This Row],[UnitPrice]]</f>
        <v>10280.050000000001</v>
      </c>
      <c r="M332">
        <f>sales[[#This Row],[GrossSales]]*sales[[#This Row],[DiscountRate]]</f>
        <v>514.00250000000005</v>
      </c>
      <c r="N332">
        <f>sales[[#This Row],[GrossSales]]-sales[[#This Row],[DiscountAmount]]</f>
        <v>9766.0475000000006</v>
      </c>
      <c r="O332">
        <f>sales[[#This Row],[Quantity]]*sales[[#This Row],[UnitCostAtSale]]</f>
        <v>6750</v>
      </c>
      <c r="P332">
        <f>sales[[#This Row],[SalesAfterDiscount]]-sales[[#This Row],[CostOfGoodsSold]]</f>
        <v>3016.0475000000006</v>
      </c>
      <c r="Q332">
        <f>IFERROR(sales[[#This Row],[GrossProfit]]/sales[[#This Row],[SalesAfterDiscount]],0)</f>
        <v>0.30882990278308603</v>
      </c>
    </row>
    <row r="333" spans="1:17">
      <c r="A333" t="s">
        <v>806</v>
      </c>
      <c r="B333" t="s">
        <v>807</v>
      </c>
      <c r="C333" s="1">
        <v>46132</v>
      </c>
      <c r="D333" t="s">
        <v>155</v>
      </c>
      <c r="E333" t="s">
        <v>46</v>
      </c>
      <c r="F333" t="s">
        <v>234</v>
      </c>
      <c r="G333" t="s">
        <v>22</v>
      </c>
      <c r="H333">
        <v>5</v>
      </c>
      <c r="I333">
        <v>17046.37</v>
      </c>
      <c r="J333">
        <v>0.15</v>
      </c>
      <c r="K333">
        <v>11700</v>
      </c>
      <c r="L333">
        <f>sales[[#This Row],[Quantity]]*sales[[#This Row],[UnitPrice]]</f>
        <v>85231.849999999991</v>
      </c>
      <c r="M333">
        <f>sales[[#This Row],[GrossSales]]*sales[[#This Row],[DiscountRate]]</f>
        <v>12784.777499999998</v>
      </c>
      <c r="N333">
        <f>sales[[#This Row],[GrossSales]]-sales[[#This Row],[DiscountAmount]]</f>
        <v>72447.072499999995</v>
      </c>
      <c r="O333">
        <f>sales[[#This Row],[Quantity]]*sales[[#This Row],[UnitCostAtSale]]</f>
        <v>58500</v>
      </c>
      <c r="P333">
        <f>sales[[#This Row],[SalesAfterDiscount]]-sales[[#This Row],[CostOfGoodsSold]]</f>
        <v>13947.072499999995</v>
      </c>
      <c r="Q333">
        <f>IFERROR(sales[[#This Row],[GrossProfit]]/sales[[#This Row],[SalesAfterDiscount]],0)</f>
        <v>0.1925139556191176</v>
      </c>
    </row>
    <row r="334" spans="1:17">
      <c r="A334" t="s">
        <v>808</v>
      </c>
      <c r="B334" t="s">
        <v>809</v>
      </c>
      <c r="C334" s="1">
        <v>46129</v>
      </c>
      <c r="D334" t="s">
        <v>25</v>
      </c>
      <c r="E334" t="s">
        <v>20</v>
      </c>
      <c r="F334" t="s">
        <v>61</v>
      </c>
      <c r="G334" t="s">
        <v>22</v>
      </c>
      <c r="H334">
        <v>3</v>
      </c>
      <c r="I334">
        <v>18592.419999999998</v>
      </c>
      <c r="J334">
        <v>0.05</v>
      </c>
      <c r="K334">
        <v>14600</v>
      </c>
      <c r="L334">
        <f>sales[[#This Row],[Quantity]]*sales[[#This Row],[UnitPrice]]</f>
        <v>55777.259999999995</v>
      </c>
      <c r="M334">
        <f>sales[[#This Row],[GrossSales]]*sales[[#This Row],[DiscountRate]]</f>
        <v>2788.8629999999998</v>
      </c>
      <c r="N334">
        <f>sales[[#This Row],[GrossSales]]-sales[[#This Row],[DiscountAmount]]</f>
        <v>52988.396999999997</v>
      </c>
      <c r="O334">
        <f>sales[[#This Row],[Quantity]]*sales[[#This Row],[UnitCostAtSale]]</f>
        <v>43800</v>
      </c>
      <c r="P334">
        <f>sales[[#This Row],[SalesAfterDiscount]]-sales[[#This Row],[CostOfGoodsSold]]</f>
        <v>9188.3969999999972</v>
      </c>
      <c r="Q334">
        <f>IFERROR(sales[[#This Row],[GrossProfit]]/sales[[#This Row],[SalesAfterDiscount]],0)</f>
        <v>0.17340394350861374</v>
      </c>
    </row>
    <row r="335" spans="1:17">
      <c r="A335" t="s">
        <v>810</v>
      </c>
      <c r="B335" t="s">
        <v>811</v>
      </c>
      <c r="C335" s="1">
        <v>46087</v>
      </c>
      <c r="D335" t="s">
        <v>60</v>
      </c>
      <c r="E335" t="s">
        <v>50</v>
      </c>
      <c r="F335" t="s">
        <v>119</v>
      </c>
      <c r="G335" t="s">
        <v>22</v>
      </c>
      <c r="H335">
        <v>5</v>
      </c>
      <c r="I335">
        <v>9389.4699999999993</v>
      </c>
      <c r="J335">
        <v>0</v>
      </c>
      <c r="K335">
        <v>7250</v>
      </c>
      <c r="L335">
        <f>sales[[#This Row],[Quantity]]*sales[[#This Row],[UnitPrice]]</f>
        <v>46947.35</v>
      </c>
      <c r="M335">
        <f>sales[[#This Row],[GrossSales]]*sales[[#This Row],[DiscountRate]]</f>
        <v>0</v>
      </c>
      <c r="N335">
        <f>sales[[#This Row],[GrossSales]]-sales[[#This Row],[DiscountAmount]]</f>
        <v>46947.35</v>
      </c>
      <c r="O335">
        <f>sales[[#This Row],[Quantity]]*sales[[#This Row],[UnitCostAtSale]]</f>
        <v>36250</v>
      </c>
      <c r="P335">
        <f>sales[[#This Row],[SalesAfterDiscount]]-sales[[#This Row],[CostOfGoodsSold]]</f>
        <v>10697.349999999999</v>
      </c>
      <c r="Q335">
        <f>IFERROR(sales[[#This Row],[GrossProfit]]/sales[[#This Row],[SalesAfterDiscount]],0)</f>
        <v>0.22785844142427633</v>
      </c>
    </row>
    <row r="336" spans="1:17">
      <c r="A336" t="s">
        <v>812</v>
      </c>
      <c r="B336" t="s">
        <v>813</v>
      </c>
      <c r="C336" s="1">
        <v>45692</v>
      </c>
      <c r="D336" t="s">
        <v>37</v>
      </c>
      <c r="E336" t="s">
        <v>14</v>
      </c>
      <c r="F336" t="s">
        <v>92</v>
      </c>
      <c r="G336" t="s">
        <v>22</v>
      </c>
      <c r="H336">
        <v>4</v>
      </c>
      <c r="I336">
        <v>17336.23</v>
      </c>
      <c r="J336">
        <v>0.2</v>
      </c>
      <c r="K336">
        <v>14200</v>
      </c>
      <c r="L336">
        <f>sales[[#This Row],[Quantity]]*sales[[#This Row],[UnitPrice]]</f>
        <v>69344.92</v>
      </c>
      <c r="M336">
        <f>sales[[#This Row],[GrossSales]]*sales[[#This Row],[DiscountRate]]</f>
        <v>13868.984</v>
      </c>
      <c r="N336">
        <f>sales[[#This Row],[GrossSales]]-sales[[#This Row],[DiscountAmount]]</f>
        <v>55475.936000000002</v>
      </c>
      <c r="O336">
        <f>sales[[#This Row],[Quantity]]*sales[[#This Row],[UnitCostAtSale]]</f>
        <v>56800</v>
      </c>
      <c r="P336">
        <f>sales[[#This Row],[SalesAfterDiscount]]-sales[[#This Row],[CostOfGoodsSold]]</f>
        <v>-1324.0639999999985</v>
      </c>
      <c r="Q336">
        <f>IFERROR(sales[[#This Row],[GrossProfit]]/sales[[#This Row],[SalesAfterDiscount]],0)</f>
        <v>-2.3867357551209202E-2</v>
      </c>
    </row>
    <row r="337" spans="1:17">
      <c r="A337" t="s">
        <v>814</v>
      </c>
      <c r="B337" t="s">
        <v>815</v>
      </c>
      <c r="C337" s="1">
        <v>46107</v>
      </c>
      <c r="D337" t="s">
        <v>151</v>
      </c>
      <c r="E337" t="s">
        <v>50</v>
      </c>
      <c r="F337" t="s">
        <v>206</v>
      </c>
      <c r="G337" t="s">
        <v>22</v>
      </c>
      <c r="H337">
        <v>2</v>
      </c>
      <c r="I337">
        <v>11729.87</v>
      </c>
      <c r="J337">
        <v>0.2</v>
      </c>
      <c r="K337">
        <v>8950</v>
      </c>
      <c r="L337">
        <f>sales[[#This Row],[Quantity]]*sales[[#This Row],[UnitPrice]]</f>
        <v>23459.74</v>
      </c>
      <c r="M337">
        <f>sales[[#This Row],[GrossSales]]*sales[[#This Row],[DiscountRate]]</f>
        <v>4691.9480000000003</v>
      </c>
      <c r="N337">
        <f>sales[[#This Row],[GrossSales]]-sales[[#This Row],[DiscountAmount]]</f>
        <v>18767.792000000001</v>
      </c>
      <c r="O337">
        <f>sales[[#This Row],[Quantity]]*sales[[#This Row],[UnitCostAtSale]]</f>
        <v>17900</v>
      </c>
      <c r="P337">
        <f>sales[[#This Row],[SalesAfterDiscount]]-sales[[#This Row],[CostOfGoodsSold]]</f>
        <v>867.79200000000128</v>
      </c>
      <c r="Q337">
        <f>IFERROR(sales[[#This Row],[GrossProfit]]/sales[[#This Row],[SalesAfterDiscount]],0)</f>
        <v>4.6238364108042183E-2</v>
      </c>
    </row>
    <row r="338" spans="1:17">
      <c r="A338" t="s">
        <v>816</v>
      </c>
      <c r="B338" t="s">
        <v>817</v>
      </c>
      <c r="C338" s="1">
        <v>46173</v>
      </c>
      <c r="D338" t="s">
        <v>29</v>
      </c>
      <c r="E338" t="s">
        <v>46</v>
      </c>
      <c r="F338" t="s">
        <v>169</v>
      </c>
      <c r="G338" t="s">
        <v>16</v>
      </c>
      <c r="H338">
        <v>3</v>
      </c>
      <c r="I338">
        <v>13204.06</v>
      </c>
      <c r="J338">
        <v>0.05</v>
      </c>
      <c r="K338">
        <v>11050</v>
      </c>
      <c r="L338">
        <f>sales[[#This Row],[Quantity]]*sales[[#This Row],[UnitPrice]]</f>
        <v>39612.18</v>
      </c>
      <c r="M338">
        <f>sales[[#This Row],[GrossSales]]*sales[[#This Row],[DiscountRate]]</f>
        <v>1980.6090000000002</v>
      </c>
      <c r="N338">
        <f>sales[[#This Row],[GrossSales]]-sales[[#This Row],[DiscountAmount]]</f>
        <v>37631.571000000004</v>
      </c>
      <c r="O338">
        <f>sales[[#This Row],[Quantity]]*sales[[#This Row],[UnitCostAtSale]]</f>
        <v>33150</v>
      </c>
      <c r="P338">
        <f>sales[[#This Row],[SalesAfterDiscount]]-sales[[#This Row],[CostOfGoodsSold]]</f>
        <v>4481.5710000000036</v>
      </c>
      <c r="Q338">
        <f>IFERROR(sales[[#This Row],[GrossProfit]]/sales[[#This Row],[SalesAfterDiscount]],0)</f>
        <v>0.11909072305272621</v>
      </c>
    </row>
    <row r="339" spans="1:17">
      <c r="A339" t="s">
        <v>818</v>
      </c>
      <c r="B339" t="s">
        <v>819</v>
      </c>
      <c r="C339" s="1">
        <v>45967</v>
      </c>
      <c r="D339" t="s">
        <v>25</v>
      </c>
      <c r="E339" t="s">
        <v>50</v>
      </c>
      <c r="F339" t="s">
        <v>658</v>
      </c>
      <c r="G339" t="s">
        <v>16</v>
      </c>
      <c r="H339">
        <v>2</v>
      </c>
      <c r="I339">
        <v>18592.419999999998</v>
      </c>
      <c r="J339">
        <v>0.2</v>
      </c>
      <c r="K339">
        <v>14600</v>
      </c>
      <c r="L339">
        <f>sales[[#This Row],[Quantity]]*sales[[#This Row],[UnitPrice]]</f>
        <v>37184.839999999997</v>
      </c>
      <c r="M339">
        <f>sales[[#This Row],[GrossSales]]*sales[[#This Row],[DiscountRate]]</f>
        <v>7436.9679999999998</v>
      </c>
      <c r="N339">
        <f>sales[[#This Row],[GrossSales]]-sales[[#This Row],[DiscountAmount]]</f>
        <v>29747.871999999996</v>
      </c>
      <c r="O339">
        <f>sales[[#This Row],[Quantity]]*sales[[#This Row],[UnitCostAtSale]]</f>
        <v>29200</v>
      </c>
      <c r="P339">
        <f>sales[[#This Row],[SalesAfterDiscount]]-sales[[#This Row],[CostOfGoodsSold]]</f>
        <v>547.87199999999575</v>
      </c>
      <c r="Q339">
        <f>IFERROR(sales[[#This Row],[GrossProfit]]/sales[[#This Row],[SalesAfterDiscount]],0)</f>
        <v>1.8417182916478727E-2</v>
      </c>
    </row>
    <row r="340" spans="1:17">
      <c r="A340" t="s">
        <v>820</v>
      </c>
      <c r="B340" t="s">
        <v>821</v>
      </c>
      <c r="C340" s="1">
        <v>45720</v>
      </c>
      <c r="D340" t="s">
        <v>80</v>
      </c>
      <c r="E340" t="s">
        <v>50</v>
      </c>
      <c r="F340" t="s">
        <v>677</v>
      </c>
      <c r="G340" t="s">
        <v>16</v>
      </c>
      <c r="H340">
        <v>5</v>
      </c>
      <c r="I340">
        <v>19555.88</v>
      </c>
      <c r="J340">
        <v>0.2</v>
      </c>
      <c r="K340">
        <v>14200</v>
      </c>
      <c r="L340">
        <f>sales[[#This Row],[Quantity]]*sales[[#This Row],[UnitPrice]]</f>
        <v>97779.400000000009</v>
      </c>
      <c r="M340">
        <f>sales[[#This Row],[GrossSales]]*sales[[#This Row],[DiscountRate]]</f>
        <v>19555.88</v>
      </c>
      <c r="N340">
        <f>sales[[#This Row],[GrossSales]]-sales[[#This Row],[DiscountAmount]]</f>
        <v>78223.520000000004</v>
      </c>
      <c r="O340">
        <f>sales[[#This Row],[Quantity]]*sales[[#This Row],[UnitCostAtSale]]</f>
        <v>71000</v>
      </c>
      <c r="P340">
        <f>sales[[#This Row],[SalesAfterDiscount]]-sales[[#This Row],[CostOfGoodsSold]]</f>
        <v>7223.5200000000041</v>
      </c>
      <c r="Q340">
        <f>IFERROR(sales[[#This Row],[GrossProfit]]/sales[[#This Row],[SalesAfterDiscount]],0)</f>
        <v>9.234460428270172E-2</v>
      </c>
    </row>
    <row r="341" spans="1:17">
      <c r="A341" t="s">
        <v>822</v>
      </c>
      <c r="B341" t="s">
        <v>823</v>
      </c>
      <c r="C341" s="1">
        <v>46165</v>
      </c>
      <c r="D341" t="s">
        <v>64</v>
      </c>
      <c r="E341" t="s">
        <v>72</v>
      </c>
      <c r="F341" t="s">
        <v>30</v>
      </c>
      <c r="G341" t="s">
        <v>16</v>
      </c>
      <c r="H341">
        <v>1</v>
      </c>
      <c r="I341">
        <v>2056.0100000000002</v>
      </c>
      <c r="J341">
        <v>0.1</v>
      </c>
      <c r="K341">
        <v>1350</v>
      </c>
      <c r="L341">
        <f>sales[[#This Row],[Quantity]]*sales[[#This Row],[UnitPrice]]</f>
        <v>2056.0100000000002</v>
      </c>
      <c r="M341">
        <f>sales[[#This Row],[GrossSales]]*sales[[#This Row],[DiscountRate]]</f>
        <v>205.60100000000003</v>
      </c>
      <c r="N341">
        <f>sales[[#This Row],[GrossSales]]-sales[[#This Row],[DiscountAmount]]</f>
        <v>1850.4090000000001</v>
      </c>
      <c r="O341">
        <f>sales[[#This Row],[Quantity]]*sales[[#This Row],[UnitCostAtSale]]</f>
        <v>1350</v>
      </c>
      <c r="P341">
        <f>sales[[#This Row],[SalesAfterDiscount]]-sales[[#This Row],[CostOfGoodsSold]]</f>
        <v>500.40900000000011</v>
      </c>
      <c r="Q341">
        <f>IFERROR(sales[[#This Row],[GrossProfit]]/sales[[#This Row],[SalesAfterDiscount]],0)</f>
        <v>0.27043156404881302</v>
      </c>
    </row>
    <row r="342" spans="1:17">
      <c r="A342" t="s">
        <v>824</v>
      </c>
      <c r="B342" t="s">
        <v>825</v>
      </c>
      <c r="C342" s="1">
        <v>46084</v>
      </c>
      <c r="D342" t="s">
        <v>175</v>
      </c>
      <c r="E342" t="s">
        <v>20</v>
      </c>
      <c r="F342" t="s">
        <v>234</v>
      </c>
      <c r="G342" t="s">
        <v>22</v>
      </c>
      <c r="H342">
        <v>4</v>
      </c>
      <c r="I342">
        <v>2403.0700000000002</v>
      </c>
      <c r="J342">
        <v>0.05</v>
      </c>
      <c r="K342">
        <v>2000</v>
      </c>
      <c r="L342">
        <f>sales[[#This Row],[Quantity]]*sales[[#This Row],[UnitPrice]]</f>
        <v>9612.2800000000007</v>
      </c>
      <c r="M342">
        <f>sales[[#This Row],[GrossSales]]*sales[[#This Row],[DiscountRate]]</f>
        <v>480.61400000000003</v>
      </c>
      <c r="N342">
        <f>sales[[#This Row],[GrossSales]]-sales[[#This Row],[DiscountAmount]]</f>
        <v>9131.6660000000011</v>
      </c>
      <c r="O342">
        <f>sales[[#This Row],[Quantity]]*sales[[#This Row],[UnitCostAtSale]]</f>
        <v>8000</v>
      </c>
      <c r="P342">
        <f>sales[[#This Row],[SalesAfterDiscount]]-sales[[#This Row],[CostOfGoodsSold]]</f>
        <v>1131.6660000000011</v>
      </c>
      <c r="Q342">
        <f>IFERROR(sales[[#This Row],[GrossProfit]]/sales[[#This Row],[SalesAfterDiscount]],0)</f>
        <v>0.12392766007867578</v>
      </c>
    </row>
    <row r="343" spans="1:17">
      <c r="A343" t="s">
        <v>826</v>
      </c>
      <c r="B343" t="s">
        <v>827</v>
      </c>
      <c r="C343" s="1">
        <v>46142</v>
      </c>
      <c r="D343" t="s">
        <v>202</v>
      </c>
      <c r="E343" t="s">
        <v>20</v>
      </c>
      <c r="F343" t="s">
        <v>131</v>
      </c>
      <c r="G343" t="s">
        <v>22</v>
      </c>
      <c r="H343">
        <v>2</v>
      </c>
      <c r="I343">
        <v>3559.5</v>
      </c>
      <c r="J343">
        <v>0.05</v>
      </c>
      <c r="K343">
        <v>2250</v>
      </c>
      <c r="L343">
        <f>sales[[#This Row],[Quantity]]*sales[[#This Row],[UnitPrice]]</f>
        <v>7119</v>
      </c>
      <c r="M343">
        <f>sales[[#This Row],[GrossSales]]*sales[[#This Row],[DiscountRate]]</f>
        <v>355.95000000000005</v>
      </c>
      <c r="N343">
        <f>sales[[#This Row],[GrossSales]]-sales[[#This Row],[DiscountAmount]]</f>
        <v>6763.05</v>
      </c>
      <c r="O343">
        <f>sales[[#This Row],[Quantity]]*sales[[#This Row],[UnitCostAtSale]]</f>
        <v>4500</v>
      </c>
      <c r="P343">
        <f>sales[[#This Row],[SalesAfterDiscount]]-sales[[#This Row],[CostOfGoodsSold]]</f>
        <v>2263.0500000000002</v>
      </c>
      <c r="Q343">
        <f>IFERROR(sales[[#This Row],[GrossProfit]]/sales[[#This Row],[SalesAfterDiscount]],0)</f>
        <v>0.33461973517865462</v>
      </c>
    </row>
    <row r="344" spans="1:17">
      <c r="A344" t="s">
        <v>828</v>
      </c>
      <c r="B344" t="s">
        <v>829</v>
      </c>
      <c r="C344" s="1">
        <v>46132</v>
      </c>
      <c r="D344" t="s">
        <v>416</v>
      </c>
      <c r="E344" t="s">
        <v>72</v>
      </c>
      <c r="F344" t="s">
        <v>176</v>
      </c>
      <c r="G344" t="s">
        <v>22</v>
      </c>
      <c r="H344">
        <v>1</v>
      </c>
      <c r="I344">
        <v>3804.25</v>
      </c>
      <c r="J344">
        <v>0.2</v>
      </c>
      <c r="K344">
        <v>2800</v>
      </c>
      <c r="L344">
        <f>sales[[#This Row],[Quantity]]*sales[[#This Row],[UnitPrice]]</f>
        <v>3804.25</v>
      </c>
      <c r="M344">
        <f>sales[[#This Row],[GrossSales]]*sales[[#This Row],[DiscountRate]]</f>
        <v>760.85</v>
      </c>
      <c r="N344">
        <f>sales[[#This Row],[GrossSales]]-sales[[#This Row],[DiscountAmount]]</f>
        <v>3043.4</v>
      </c>
      <c r="O344">
        <f>sales[[#This Row],[Quantity]]*sales[[#This Row],[UnitCostAtSale]]</f>
        <v>2800</v>
      </c>
      <c r="P344">
        <f>sales[[#This Row],[SalesAfterDiscount]]-sales[[#This Row],[CostOfGoodsSold]]</f>
        <v>243.40000000000009</v>
      </c>
      <c r="Q344">
        <f>IFERROR(sales[[#This Row],[GrossProfit]]/sales[[#This Row],[SalesAfterDiscount]],0)</f>
        <v>7.9976342248800708E-2</v>
      </c>
    </row>
    <row r="345" spans="1:17">
      <c r="A345" t="s">
        <v>830</v>
      </c>
      <c r="B345" t="s">
        <v>831</v>
      </c>
      <c r="C345" s="1">
        <v>45906</v>
      </c>
      <c r="D345" t="s">
        <v>151</v>
      </c>
      <c r="E345" t="s">
        <v>20</v>
      </c>
      <c r="F345" t="s">
        <v>257</v>
      </c>
      <c r="G345" t="s">
        <v>22</v>
      </c>
      <c r="H345">
        <v>3</v>
      </c>
      <c r="I345">
        <v>11729.87</v>
      </c>
      <c r="J345">
        <v>0.05</v>
      </c>
      <c r="K345">
        <v>8950</v>
      </c>
      <c r="L345">
        <f>sales[[#This Row],[Quantity]]*sales[[#This Row],[UnitPrice]]</f>
        <v>35189.61</v>
      </c>
      <c r="M345">
        <f>sales[[#This Row],[GrossSales]]*sales[[#This Row],[DiscountRate]]</f>
        <v>1759.4805000000001</v>
      </c>
      <c r="N345">
        <f>sales[[#This Row],[GrossSales]]-sales[[#This Row],[DiscountAmount]]</f>
        <v>33430.129500000003</v>
      </c>
      <c r="O345">
        <f>sales[[#This Row],[Quantity]]*sales[[#This Row],[UnitCostAtSale]]</f>
        <v>26850</v>
      </c>
      <c r="P345">
        <f>sales[[#This Row],[SalesAfterDiscount]]-sales[[#This Row],[CostOfGoodsSold]]</f>
        <v>6580.1295000000027</v>
      </c>
      <c r="Q345">
        <f>IFERROR(sales[[#This Row],[GrossProfit]]/sales[[#This Row],[SalesAfterDiscount]],0)</f>
        <v>0.1968323066172987</v>
      </c>
    </row>
    <row r="346" spans="1:17">
      <c r="A346" t="s">
        <v>832</v>
      </c>
      <c r="B346" t="s">
        <v>833</v>
      </c>
      <c r="C346" s="1">
        <v>46118</v>
      </c>
      <c r="D346" t="s">
        <v>99</v>
      </c>
      <c r="E346" t="s">
        <v>46</v>
      </c>
      <c r="F346" t="s">
        <v>51</v>
      </c>
      <c r="G346" t="s">
        <v>22</v>
      </c>
      <c r="H346">
        <v>3</v>
      </c>
      <c r="I346">
        <v>10644.48</v>
      </c>
      <c r="J346">
        <v>0</v>
      </c>
      <c r="K346">
        <v>7050</v>
      </c>
      <c r="L346">
        <f>sales[[#This Row],[Quantity]]*sales[[#This Row],[UnitPrice]]</f>
        <v>31933.439999999999</v>
      </c>
      <c r="M346">
        <f>sales[[#This Row],[GrossSales]]*sales[[#This Row],[DiscountRate]]</f>
        <v>0</v>
      </c>
      <c r="N346">
        <f>sales[[#This Row],[GrossSales]]-sales[[#This Row],[DiscountAmount]]</f>
        <v>31933.439999999999</v>
      </c>
      <c r="O346">
        <f>sales[[#This Row],[Quantity]]*sales[[#This Row],[UnitCostAtSale]]</f>
        <v>21150</v>
      </c>
      <c r="P346">
        <f>sales[[#This Row],[SalesAfterDiscount]]-sales[[#This Row],[CostOfGoodsSold]]</f>
        <v>10783.439999999999</v>
      </c>
      <c r="Q346">
        <f>IFERROR(sales[[#This Row],[GrossProfit]]/sales[[#This Row],[SalesAfterDiscount]],0)</f>
        <v>0.33768488455988455</v>
      </c>
    </row>
    <row r="347" spans="1:17">
      <c r="A347" t="s">
        <v>834</v>
      </c>
      <c r="B347" t="s">
        <v>835</v>
      </c>
      <c r="C347" s="1">
        <v>45932</v>
      </c>
      <c r="D347" t="s">
        <v>60</v>
      </c>
      <c r="E347" t="s">
        <v>46</v>
      </c>
      <c r="F347" t="s">
        <v>254</v>
      </c>
      <c r="G347" t="s">
        <v>22</v>
      </c>
      <c r="H347">
        <v>4</v>
      </c>
      <c r="I347">
        <v>9389.4699999999993</v>
      </c>
      <c r="J347">
        <v>0.2</v>
      </c>
      <c r="K347">
        <v>7250</v>
      </c>
      <c r="L347">
        <f>sales[[#This Row],[Quantity]]*sales[[#This Row],[UnitPrice]]</f>
        <v>37557.879999999997</v>
      </c>
      <c r="M347">
        <f>sales[[#This Row],[GrossSales]]*sales[[#This Row],[DiscountRate]]</f>
        <v>7511.576</v>
      </c>
      <c r="N347">
        <f>sales[[#This Row],[GrossSales]]-sales[[#This Row],[DiscountAmount]]</f>
        <v>30046.303999999996</v>
      </c>
      <c r="O347">
        <f>sales[[#This Row],[Quantity]]*sales[[#This Row],[UnitCostAtSale]]</f>
        <v>29000</v>
      </c>
      <c r="P347">
        <f>sales[[#This Row],[SalesAfterDiscount]]-sales[[#This Row],[CostOfGoodsSold]]</f>
        <v>1046.3039999999964</v>
      </c>
      <c r="Q347">
        <f>IFERROR(sales[[#This Row],[GrossProfit]]/sales[[#This Row],[SalesAfterDiscount]],0)</f>
        <v>3.4823051780345317E-2</v>
      </c>
    </row>
    <row r="348" spans="1:17">
      <c r="A348" t="s">
        <v>836</v>
      </c>
      <c r="B348" t="s">
        <v>837</v>
      </c>
      <c r="C348" s="1">
        <v>45880</v>
      </c>
      <c r="D348" t="s">
        <v>33</v>
      </c>
      <c r="E348" t="s">
        <v>20</v>
      </c>
      <c r="F348" t="s">
        <v>220</v>
      </c>
      <c r="G348" t="s">
        <v>22</v>
      </c>
      <c r="H348">
        <v>4</v>
      </c>
      <c r="I348">
        <v>19237.78</v>
      </c>
      <c r="J348">
        <v>0.05</v>
      </c>
      <c r="K348">
        <v>13150</v>
      </c>
      <c r="L348">
        <f>sales[[#This Row],[Quantity]]*sales[[#This Row],[UnitPrice]]</f>
        <v>76951.12</v>
      </c>
      <c r="M348">
        <f>sales[[#This Row],[GrossSales]]*sales[[#This Row],[DiscountRate]]</f>
        <v>3847.556</v>
      </c>
      <c r="N348">
        <f>sales[[#This Row],[GrossSales]]-sales[[#This Row],[DiscountAmount]]</f>
        <v>73103.563999999998</v>
      </c>
      <c r="O348">
        <f>sales[[#This Row],[Quantity]]*sales[[#This Row],[UnitCostAtSale]]</f>
        <v>52600</v>
      </c>
      <c r="P348">
        <f>sales[[#This Row],[SalesAfterDiscount]]-sales[[#This Row],[CostOfGoodsSold]]</f>
        <v>20503.563999999998</v>
      </c>
      <c r="Q348">
        <f>IFERROR(sales[[#This Row],[GrossProfit]]/sales[[#This Row],[SalesAfterDiscount]],0)</f>
        <v>0.2804728371382823</v>
      </c>
    </row>
    <row r="349" spans="1:17">
      <c r="A349" t="s">
        <v>838</v>
      </c>
      <c r="B349" t="s">
        <v>839</v>
      </c>
      <c r="C349" s="1">
        <v>45852</v>
      </c>
      <c r="D349" t="s">
        <v>33</v>
      </c>
      <c r="E349" t="s">
        <v>50</v>
      </c>
      <c r="F349" t="s">
        <v>217</v>
      </c>
      <c r="G349" t="s">
        <v>22</v>
      </c>
      <c r="H349">
        <v>1</v>
      </c>
      <c r="I349">
        <v>19237.78</v>
      </c>
      <c r="J349">
        <v>0.15</v>
      </c>
      <c r="K349">
        <v>13150</v>
      </c>
      <c r="L349">
        <f>sales[[#This Row],[Quantity]]*sales[[#This Row],[UnitPrice]]</f>
        <v>19237.78</v>
      </c>
      <c r="M349">
        <f>sales[[#This Row],[GrossSales]]*sales[[#This Row],[DiscountRate]]</f>
        <v>2885.6669999999999</v>
      </c>
      <c r="N349">
        <f>sales[[#This Row],[GrossSales]]-sales[[#This Row],[DiscountAmount]]</f>
        <v>16352.112999999999</v>
      </c>
      <c r="O349">
        <f>sales[[#This Row],[Quantity]]*sales[[#This Row],[UnitCostAtSale]]</f>
        <v>13150</v>
      </c>
      <c r="P349">
        <f>sales[[#This Row],[SalesAfterDiscount]]-sales[[#This Row],[CostOfGoodsSold]]</f>
        <v>3202.1129999999994</v>
      </c>
      <c r="Q349">
        <f>IFERROR(sales[[#This Row],[GrossProfit]]/sales[[#This Row],[SalesAfterDiscount]],0)</f>
        <v>0.19582258268396258</v>
      </c>
    </row>
    <row r="350" spans="1:17">
      <c r="A350" t="s">
        <v>840</v>
      </c>
      <c r="B350" t="s">
        <v>841</v>
      </c>
      <c r="C350" s="1">
        <v>45903</v>
      </c>
      <c r="D350" t="s">
        <v>151</v>
      </c>
      <c r="E350" t="s">
        <v>20</v>
      </c>
      <c r="F350" t="s">
        <v>234</v>
      </c>
      <c r="G350" t="s">
        <v>16</v>
      </c>
      <c r="H350">
        <v>5</v>
      </c>
      <c r="I350">
        <v>11729.87</v>
      </c>
      <c r="J350">
        <v>0.1</v>
      </c>
      <c r="K350">
        <v>8950</v>
      </c>
      <c r="L350">
        <f>sales[[#This Row],[Quantity]]*sales[[#This Row],[UnitPrice]]</f>
        <v>58649.350000000006</v>
      </c>
      <c r="M350">
        <f>sales[[#This Row],[GrossSales]]*sales[[#This Row],[DiscountRate]]</f>
        <v>5864.9350000000013</v>
      </c>
      <c r="N350">
        <f>sales[[#This Row],[GrossSales]]-sales[[#This Row],[DiscountAmount]]</f>
        <v>52784.415000000008</v>
      </c>
      <c r="O350">
        <f>sales[[#This Row],[Quantity]]*sales[[#This Row],[UnitCostAtSale]]</f>
        <v>44750</v>
      </c>
      <c r="P350">
        <f>sales[[#This Row],[SalesAfterDiscount]]-sales[[#This Row],[CostOfGoodsSold]]</f>
        <v>8034.4150000000081</v>
      </c>
      <c r="Q350">
        <f>IFERROR(sales[[#This Row],[GrossProfit]]/sales[[#This Row],[SalesAfterDiscount]],0)</f>
        <v>0.15221187920714868</v>
      </c>
    </row>
    <row r="351" spans="1:17">
      <c r="A351" t="s">
        <v>842</v>
      </c>
      <c r="B351" t="s">
        <v>843</v>
      </c>
      <c r="C351" s="1">
        <v>46025</v>
      </c>
      <c r="D351" t="s">
        <v>64</v>
      </c>
      <c r="E351" t="s">
        <v>20</v>
      </c>
      <c r="F351" t="s">
        <v>651</v>
      </c>
      <c r="G351" t="s">
        <v>16</v>
      </c>
      <c r="H351">
        <v>3</v>
      </c>
      <c r="I351">
        <v>2056.0100000000002</v>
      </c>
      <c r="J351">
        <v>0.1</v>
      </c>
      <c r="K351">
        <v>1350</v>
      </c>
      <c r="L351">
        <f>sales[[#This Row],[Quantity]]*sales[[#This Row],[UnitPrice]]</f>
        <v>6168.0300000000007</v>
      </c>
      <c r="M351">
        <f>sales[[#This Row],[GrossSales]]*sales[[#This Row],[DiscountRate]]</f>
        <v>616.80300000000011</v>
      </c>
      <c r="N351">
        <f>sales[[#This Row],[GrossSales]]-sales[[#This Row],[DiscountAmount]]</f>
        <v>5551.2270000000008</v>
      </c>
      <c r="O351">
        <f>sales[[#This Row],[Quantity]]*sales[[#This Row],[UnitCostAtSale]]</f>
        <v>4050</v>
      </c>
      <c r="P351">
        <f>sales[[#This Row],[SalesAfterDiscount]]-sales[[#This Row],[CostOfGoodsSold]]</f>
        <v>1501.2270000000008</v>
      </c>
      <c r="Q351">
        <f>IFERROR(sales[[#This Row],[GrossProfit]]/sales[[#This Row],[SalesAfterDiscount]],0)</f>
        <v>0.27043156404881308</v>
      </c>
    </row>
    <row r="352" spans="1:17">
      <c r="A352" t="s">
        <v>844</v>
      </c>
      <c r="B352" t="s">
        <v>845</v>
      </c>
      <c r="C352" s="1">
        <v>45758</v>
      </c>
      <c r="D352" t="s">
        <v>112</v>
      </c>
      <c r="E352" t="s">
        <v>50</v>
      </c>
      <c r="F352" t="s">
        <v>535</v>
      </c>
      <c r="G352" t="s">
        <v>16</v>
      </c>
      <c r="H352">
        <v>4</v>
      </c>
      <c r="I352">
        <v>10868.14</v>
      </c>
      <c r="J352">
        <v>0.1</v>
      </c>
      <c r="K352">
        <v>8850</v>
      </c>
      <c r="L352">
        <f>sales[[#This Row],[Quantity]]*sales[[#This Row],[UnitPrice]]</f>
        <v>43472.56</v>
      </c>
      <c r="M352">
        <f>sales[[#This Row],[GrossSales]]*sales[[#This Row],[DiscountRate]]</f>
        <v>4347.2560000000003</v>
      </c>
      <c r="N352">
        <f>sales[[#This Row],[GrossSales]]-sales[[#This Row],[DiscountAmount]]</f>
        <v>39125.303999999996</v>
      </c>
      <c r="O352">
        <f>sales[[#This Row],[Quantity]]*sales[[#This Row],[UnitCostAtSale]]</f>
        <v>35400</v>
      </c>
      <c r="P352">
        <f>sales[[#This Row],[SalesAfterDiscount]]-sales[[#This Row],[CostOfGoodsSold]]</f>
        <v>3725.3039999999964</v>
      </c>
      <c r="Q352">
        <f>IFERROR(sales[[#This Row],[GrossProfit]]/sales[[#This Row],[SalesAfterDiscount]],0)</f>
        <v>9.5214697884519875E-2</v>
      </c>
    </row>
    <row r="353" spans="1:17">
      <c r="A353" t="s">
        <v>846</v>
      </c>
      <c r="B353" t="s">
        <v>847</v>
      </c>
      <c r="C353" s="1">
        <v>45704</v>
      </c>
      <c r="D353" t="s">
        <v>316</v>
      </c>
      <c r="E353" t="s">
        <v>50</v>
      </c>
      <c r="F353" t="s">
        <v>38</v>
      </c>
      <c r="G353" t="s">
        <v>16</v>
      </c>
      <c r="H353">
        <v>5</v>
      </c>
      <c r="I353">
        <v>9371.8700000000008</v>
      </c>
      <c r="J353">
        <v>0.05</v>
      </c>
      <c r="K353">
        <v>5750</v>
      </c>
      <c r="L353">
        <f>sales[[#This Row],[Quantity]]*sales[[#This Row],[UnitPrice]]</f>
        <v>46859.350000000006</v>
      </c>
      <c r="M353">
        <f>sales[[#This Row],[GrossSales]]*sales[[#This Row],[DiscountRate]]</f>
        <v>2342.9675000000002</v>
      </c>
      <c r="N353">
        <f>sales[[#This Row],[GrossSales]]-sales[[#This Row],[DiscountAmount]]</f>
        <v>44516.382500000007</v>
      </c>
      <c r="O353">
        <f>sales[[#This Row],[Quantity]]*sales[[#This Row],[UnitCostAtSale]]</f>
        <v>28750</v>
      </c>
      <c r="P353">
        <f>sales[[#This Row],[SalesAfterDiscount]]-sales[[#This Row],[CostOfGoodsSold]]</f>
        <v>15766.382500000007</v>
      </c>
      <c r="Q353">
        <f>IFERROR(sales[[#This Row],[GrossProfit]]/sales[[#This Row],[SalesAfterDiscount]],0)</f>
        <v>0.35417034391777014</v>
      </c>
    </row>
    <row r="354" spans="1:17">
      <c r="A354" t="s">
        <v>848</v>
      </c>
      <c r="B354" t="s">
        <v>849</v>
      </c>
      <c r="C354" s="1">
        <v>46085</v>
      </c>
      <c r="D354" t="s">
        <v>64</v>
      </c>
      <c r="E354" t="s">
        <v>50</v>
      </c>
      <c r="F354" t="s">
        <v>186</v>
      </c>
      <c r="G354" t="s">
        <v>22</v>
      </c>
      <c r="H354">
        <v>3</v>
      </c>
      <c r="I354">
        <v>2056.0100000000002</v>
      </c>
      <c r="J354">
        <v>0.05</v>
      </c>
      <c r="K354">
        <v>1350</v>
      </c>
      <c r="L354">
        <f>sales[[#This Row],[Quantity]]*sales[[#This Row],[UnitPrice]]</f>
        <v>6168.0300000000007</v>
      </c>
      <c r="M354">
        <f>sales[[#This Row],[GrossSales]]*sales[[#This Row],[DiscountRate]]</f>
        <v>308.40150000000006</v>
      </c>
      <c r="N354">
        <f>sales[[#This Row],[GrossSales]]-sales[[#This Row],[DiscountAmount]]</f>
        <v>5859.6285000000007</v>
      </c>
      <c r="O354">
        <f>sales[[#This Row],[Quantity]]*sales[[#This Row],[UnitCostAtSale]]</f>
        <v>4050</v>
      </c>
      <c r="P354">
        <f>sales[[#This Row],[SalesAfterDiscount]]-sales[[#This Row],[CostOfGoodsSold]]</f>
        <v>1809.6285000000007</v>
      </c>
      <c r="Q354">
        <f>IFERROR(sales[[#This Row],[GrossProfit]]/sales[[#This Row],[SalesAfterDiscount]],0)</f>
        <v>0.30882990278308609</v>
      </c>
    </row>
    <row r="355" spans="1:17">
      <c r="A355" t="s">
        <v>850</v>
      </c>
      <c r="B355" t="s">
        <v>851</v>
      </c>
      <c r="C355" s="1">
        <v>45909</v>
      </c>
      <c r="D355" t="s">
        <v>151</v>
      </c>
      <c r="E355" t="s">
        <v>20</v>
      </c>
      <c r="F355" t="s">
        <v>298</v>
      </c>
      <c r="G355" t="s">
        <v>16</v>
      </c>
      <c r="H355">
        <v>4</v>
      </c>
      <c r="I355">
        <v>11729.87</v>
      </c>
      <c r="J355">
        <v>0.2</v>
      </c>
      <c r="K355">
        <v>8950</v>
      </c>
      <c r="L355">
        <f>sales[[#This Row],[Quantity]]*sales[[#This Row],[UnitPrice]]</f>
        <v>46919.48</v>
      </c>
      <c r="M355">
        <f>sales[[#This Row],[GrossSales]]*sales[[#This Row],[DiscountRate]]</f>
        <v>9383.8960000000006</v>
      </c>
      <c r="N355">
        <f>sales[[#This Row],[GrossSales]]-sales[[#This Row],[DiscountAmount]]</f>
        <v>37535.584000000003</v>
      </c>
      <c r="O355">
        <f>sales[[#This Row],[Quantity]]*sales[[#This Row],[UnitCostAtSale]]</f>
        <v>35800</v>
      </c>
      <c r="P355">
        <f>sales[[#This Row],[SalesAfterDiscount]]-sales[[#This Row],[CostOfGoodsSold]]</f>
        <v>1735.5840000000026</v>
      </c>
      <c r="Q355">
        <f>IFERROR(sales[[#This Row],[GrossProfit]]/sales[[#This Row],[SalesAfterDiscount]],0)</f>
        <v>4.6238364108042183E-2</v>
      </c>
    </row>
    <row r="356" spans="1:17">
      <c r="A356" t="s">
        <v>852</v>
      </c>
      <c r="B356" t="s">
        <v>853</v>
      </c>
      <c r="C356" s="1">
        <v>46160</v>
      </c>
      <c r="D356" t="s">
        <v>87</v>
      </c>
      <c r="E356" t="s">
        <v>20</v>
      </c>
      <c r="F356" t="s">
        <v>246</v>
      </c>
      <c r="G356" t="s">
        <v>22</v>
      </c>
      <c r="H356">
        <v>4</v>
      </c>
      <c r="I356">
        <v>9337.2199999999993</v>
      </c>
      <c r="J356">
        <v>0.05</v>
      </c>
      <c r="K356">
        <v>6050</v>
      </c>
      <c r="L356">
        <f>sales[[#This Row],[Quantity]]*sales[[#This Row],[UnitPrice]]</f>
        <v>37348.879999999997</v>
      </c>
      <c r="M356">
        <f>sales[[#This Row],[GrossSales]]*sales[[#This Row],[DiscountRate]]</f>
        <v>1867.444</v>
      </c>
      <c r="N356">
        <f>sales[[#This Row],[GrossSales]]-sales[[#This Row],[DiscountAmount]]</f>
        <v>35481.435999999994</v>
      </c>
      <c r="O356">
        <f>sales[[#This Row],[Quantity]]*sales[[#This Row],[UnitCostAtSale]]</f>
        <v>24200</v>
      </c>
      <c r="P356">
        <f>sales[[#This Row],[SalesAfterDiscount]]-sales[[#This Row],[CostOfGoodsSold]]</f>
        <v>11281.435999999994</v>
      </c>
      <c r="Q356">
        <f>IFERROR(sales[[#This Row],[GrossProfit]]/sales[[#This Row],[SalesAfterDiscount]],0)</f>
        <v>0.31795319670827293</v>
      </c>
    </row>
    <row r="357" spans="1:17">
      <c r="A357" t="s">
        <v>854</v>
      </c>
      <c r="B357" t="s">
        <v>855</v>
      </c>
      <c r="C357" s="1">
        <v>46158</v>
      </c>
      <c r="D357" t="s">
        <v>87</v>
      </c>
      <c r="E357" t="s">
        <v>14</v>
      </c>
      <c r="F357" t="s">
        <v>30</v>
      </c>
      <c r="G357" t="s">
        <v>22</v>
      </c>
      <c r="H357">
        <v>2</v>
      </c>
      <c r="I357">
        <v>9337.2199999999993</v>
      </c>
      <c r="J357">
        <v>0.2</v>
      </c>
      <c r="K357">
        <v>6050</v>
      </c>
      <c r="L357">
        <f>sales[[#This Row],[Quantity]]*sales[[#This Row],[UnitPrice]]</f>
        <v>18674.439999999999</v>
      </c>
      <c r="M357">
        <f>sales[[#This Row],[GrossSales]]*sales[[#This Row],[DiscountRate]]</f>
        <v>3734.8879999999999</v>
      </c>
      <c r="N357">
        <f>sales[[#This Row],[GrossSales]]-sales[[#This Row],[DiscountAmount]]</f>
        <v>14939.552</v>
      </c>
      <c r="O357">
        <f>sales[[#This Row],[Quantity]]*sales[[#This Row],[UnitCostAtSale]]</f>
        <v>12100</v>
      </c>
      <c r="P357">
        <f>sales[[#This Row],[SalesAfterDiscount]]-sales[[#This Row],[CostOfGoodsSold]]</f>
        <v>2839.5519999999997</v>
      </c>
      <c r="Q357">
        <f>IFERROR(sales[[#This Row],[GrossProfit]]/sales[[#This Row],[SalesAfterDiscount]],0)</f>
        <v>0.19006942109107419</v>
      </c>
    </row>
    <row r="358" spans="1:17">
      <c r="A358" t="s">
        <v>856</v>
      </c>
      <c r="B358" t="s">
        <v>857</v>
      </c>
      <c r="C358" s="1">
        <v>45734</v>
      </c>
      <c r="D358" t="s">
        <v>126</v>
      </c>
      <c r="E358" t="s">
        <v>72</v>
      </c>
      <c r="F358" t="s">
        <v>858</v>
      </c>
      <c r="G358" t="s">
        <v>22</v>
      </c>
      <c r="H358">
        <v>1</v>
      </c>
      <c r="I358">
        <v>17523.439999999999</v>
      </c>
      <c r="J358">
        <v>0</v>
      </c>
      <c r="K358">
        <v>11850</v>
      </c>
      <c r="L358">
        <f>sales[[#This Row],[Quantity]]*sales[[#This Row],[UnitPrice]]</f>
        <v>17523.439999999999</v>
      </c>
      <c r="M358">
        <f>sales[[#This Row],[GrossSales]]*sales[[#This Row],[DiscountRate]]</f>
        <v>0</v>
      </c>
      <c r="N358">
        <f>sales[[#This Row],[GrossSales]]-sales[[#This Row],[DiscountAmount]]</f>
        <v>17523.439999999999</v>
      </c>
      <c r="O358">
        <f>sales[[#This Row],[Quantity]]*sales[[#This Row],[UnitCostAtSale]]</f>
        <v>11850</v>
      </c>
      <c r="P358">
        <f>sales[[#This Row],[SalesAfterDiscount]]-sales[[#This Row],[CostOfGoodsSold]]</f>
        <v>5673.4399999999987</v>
      </c>
      <c r="Q358">
        <f>IFERROR(sales[[#This Row],[GrossProfit]]/sales[[#This Row],[SalesAfterDiscount]],0)</f>
        <v>0.32376291413101532</v>
      </c>
    </row>
    <row r="359" spans="1:17">
      <c r="A359" t="s">
        <v>859</v>
      </c>
      <c r="B359" t="s">
        <v>860</v>
      </c>
      <c r="C359" s="1">
        <v>45812</v>
      </c>
      <c r="D359" t="s">
        <v>71</v>
      </c>
      <c r="E359" t="s">
        <v>46</v>
      </c>
      <c r="F359" t="s">
        <v>152</v>
      </c>
      <c r="G359" t="s">
        <v>16</v>
      </c>
      <c r="H359">
        <v>1</v>
      </c>
      <c r="I359">
        <v>5799.34</v>
      </c>
      <c r="J359">
        <v>0.05</v>
      </c>
      <c r="K359">
        <v>3800</v>
      </c>
      <c r="L359">
        <f>sales[[#This Row],[Quantity]]*sales[[#This Row],[UnitPrice]]</f>
        <v>5799.34</v>
      </c>
      <c r="M359">
        <f>sales[[#This Row],[GrossSales]]*sales[[#This Row],[DiscountRate]]</f>
        <v>289.96700000000004</v>
      </c>
      <c r="N359">
        <f>sales[[#This Row],[GrossSales]]-sales[[#This Row],[DiscountAmount]]</f>
        <v>5509.3730000000005</v>
      </c>
      <c r="O359">
        <f>sales[[#This Row],[Quantity]]*sales[[#This Row],[UnitCostAtSale]]</f>
        <v>3800</v>
      </c>
      <c r="P359">
        <f>sales[[#This Row],[SalesAfterDiscount]]-sales[[#This Row],[CostOfGoodsSold]]</f>
        <v>1709.3730000000005</v>
      </c>
      <c r="Q359">
        <f>IFERROR(sales[[#This Row],[GrossProfit]]/sales[[#This Row],[SalesAfterDiscount]],0)</f>
        <v>0.31026634065255709</v>
      </c>
    </row>
    <row r="360" spans="1:17">
      <c r="A360" t="s">
        <v>861</v>
      </c>
      <c r="B360" t="s">
        <v>862</v>
      </c>
      <c r="C360" s="1">
        <v>46152</v>
      </c>
      <c r="D360" t="s">
        <v>60</v>
      </c>
      <c r="E360" t="s">
        <v>14</v>
      </c>
      <c r="F360" t="s">
        <v>754</v>
      </c>
      <c r="G360" t="s">
        <v>16</v>
      </c>
      <c r="H360">
        <v>4</v>
      </c>
      <c r="I360">
        <v>9389.4699999999993</v>
      </c>
      <c r="J360">
        <v>0</v>
      </c>
      <c r="K360">
        <v>7250</v>
      </c>
      <c r="L360">
        <f>sales[[#This Row],[Quantity]]*sales[[#This Row],[UnitPrice]]</f>
        <v>37557.879999999997</v>
      </c>
      <c r="M360">
        <f>sales[[#This Row],[GrossSales]]*sales[[#This Row],[DiscountRate]]</f>
        <v>0</v>
      </c>
      <c r="N360">
        <f>sales[[#This Row],[GrossSales]]-sales[[#This Row],[DiscountAmount]]</f>
        <v>37557.879999999997</v>
      </c>
      <c r="O360">
        <f>sales[[#This Row],[Quantity]]*sales[[#This Row],[UnitCostAtSale]]</f>
        <v>29000</v>
      </c>
      <c r="P360">
        <f>sales[[#This Row],[SalesAfterDiscount]]-sales[[#This Row],[CostOfGoodsSold]]</f>
        <v>8557.8799999999974</v>
      </c>
      <c r="Q360">
        <f>IFERROR(sales[[#This Row],[GrossProfit]]/sales[[#This Row],[SalesAfterDiscount]],0)</f>
        <v>0.2278584414242763</v>
      </c>
    </row>
    <row r="361" spans="1:17">
      <c r="A361" t="s">
        <v>863</v>
      </c>
      <c r="B361" t="s">
        <v>864</v>
      </c>
      <c r="C361" s="1">
        <v>45675</v>
      </c>
      <c r="D361" t="s">
        <v>161</v>
      </c>
      <c r="E361" t="s">
        <v>46</v>
      </c>
      <c r="F361" t="s">
        <v>109</v>
      </c>
      <c r="G361" t="s">
        <v>22</v>
      </c>
      <c r="H361">
        <v>5</v>
      </c>
      <c r="I361">
        <v>3694.44</v>
      </c>
      <c r="J361">
        <v>0.1</v>
      </c>
      <c r="K361">
        <v>3100</v>
      </c>
      <c r="L361">
        <f>sales[[#This Row],[Quantity]]*sales[[#This Row],[UnitPrice]]</f>
        <v>18472.2</v>
      </c>
      <c r="M361">
        <f>sales[[#This Row],[GrossSales]]*sales[[#This Row],[DiscountRate]]</f>
        <v>1847.2200000000003</v>
      </c>
      <c r="N361">
        <f>sales[[#This Row],[GrossSales]]-sales[[#This Row],[DiscountAmount]]</f>
        <v>16624.98</v>
      </c>
      <c r="O361">
        <f>sales[[#This Row],[Quantity]]*sales[[#This Row],[UnitCostAtSale]]</f>
        <v>15500</v>
      </c>
      <c r="P361">
        <f>sales[[#This Row],[SalesAfterDiscount]]-sales[[#This Row],[CostOfGoodsSold]]</f>
        <v>1124.9799999999996</v>
      </c>
      <c r="Q361">
        <f>IFERROR(sales[[#This Row],[GrossProfit]]/sales[[#This Row],[SalesAfterDiscount]],0)</f>
        <v>6.7668051329986531E-2</v>
      </c>
    </row>
    <row r="362" spans="1:17">
      <c r="A362" t="s">
        <v>865</v>
      </c>
      <c r="B362" t="s">
        <v>866</v>
      </c>
      <c r="C362" s="1">
        <v>46098</v>
      </c>
      <c r="D362" t="s">
        <v>122</v>
      </c>
      <c r="E362" t="s">
        <v>14</v>
      </c>
      <c r="F362" t="s">
        <v>30</v>
      </c>
      <c r="G362" t="s">
        <v>22</v>
      </c>
      <c r="H362">
        <v>2</v>
      </c>
      <c r="I362">
        <v>13246.95</v>
      </c>
      <c r="J362">
        <v>0</v>
      </c>
      <c r="K362">
        <v>9050</v>
      </c>
      <c r="L362">
        <f>sales[[#This Row],[Quantity]]*sales[[#This Row],[UnitPrice]]</f>
        <v>26493.9</v>
      </c>
      <c r="M362">
        <f>sales[[#This Row],[GrossSales]]*sales[[#This Row],[DiscountRate]]</f>
        <v>0</v>
      </c>
      <c r="N362">
        <f>sales[[#This Row],[GrossSales]]-sales[[#This Row],[DiscountAmount]]</f>
        <v>26493.9</v>
      </c>
      <c r="O362">
        <f>sales[[#This Row],[Quantity]]*sales[[#This Row],[UnitCostAtSale]]</f>
        <v>18100</v>
      </c>
      <c r="P362">
        <f>sales[[#This Row],[SalesAfterDiscount]]-sales[[#This Row],[CostOfGoodsSold]]</f>
        <v>8393.9000000000015</v>
      </c>
      <c r="Q362">
        <f>IFERROR(sales[[#This Row],[GrossProfit]]/sales[[#This Row],[SalesAfterDiscount]],0)</f>
        <v>0.31682387266502859</v>
      </c>
    </row>
    <row r="363" spans="1:17">
      <c r="A363" t="s">
        <v>867</v>
      </c>
      <c r="B363" t="s">
        <v>868</v>
      </c>
      <c r="C363" s="1">
        <v>45854</v>
      </c>
      <c r="D363" t="s">
        <v>25</v>
      </c>
      <c r="E363" t="s">
        <v>20</v>
      </c>
      <c r="F363" t="s">
        <v>281</v>
      </c>
      <c r="G363" t="s">
        <v>16</v>
      </c>
      <c r="H363">
        <v>5</v>
      </c>
      <c r="I363">
        <v>18592.419999999998</v>
      </c>
      <c r="J363">
        <v>0.2</v>
      </c>
      <c r="K363">
        <v>14600</v>
      </c>
      <c r="L363">
        <f>sales[[#This Row],[Quantity]]*sales[[#This Row],[UnitPrice]]</f>
        <v>92962.099999999991</v>
      </c>
      <c r="M363">
        <f>sales[[#This Row],[GrossSales]]*sales[[#This Row],[DiscountRate]]</f>
        <v>18592.419999999998</v>
      </c>
      <c r="N363">
        <f>sales[[#This Row],[GrossSales]]-sales[[#This Row],[DiscountAmount]]</f>
        <v>74369.679999999993</v>
      </c>
      <c r="O363">
        <f>sales[[#This Row],[Quantity]]*sales[[#This Row],[UnitCostAtSale]]</f>
        <v>73000</v>
      </c>
      <c r="P363">
        <f>sales[[#This Row],[SalesAfterDiscount]]-sales[[#This Row],[CostOfGoodsSold]]</f>
        <v>1369.679999999993</v>
      </c>
      <c r="Q363">
        <f>IFERROR(sales[[#This Row],[GrossProfit]]/sales[[#This Row],[SalesAfterDiscount]],0)</f>
        <v>1.8417182916478776E-2</v>
      </c>
    </row>
    <row r="364" spans="1:17">
      <c r="A364" t="s">
        <v>869</v>
      </c>
      <c r="B364" t="s">
        <v>870</v>
      </c>
      <c r="C364" s="1">
        <v>46064</v>
      </c>
      <c r="D364" t="s">
        <v>416</v>
      </c>
      <c r="E364" t="s">
        <v>72</v>
      </c>
      <c r="F364" t="s">
        <v>152</v>
      </c>
      <c r="G364" t="s">
        <v>22</v>
      </c>
      <c r="H364">
        <v>1</v>
      </c>
      <c r="I364">
        <v>3804.25</v>
      </c>
      <c r="J364">
        <v>0.1</v>
      </c>
      <c r="K364">
        <v>2800</v>
      </c>
      <c r="L364">
        <f>sales[[#This Row],[Quantity]]*sales[[#This Row],[UnitPrice]]</f>
        <v>3804.25</v>
      </c>
      <c r="M364">
        <f>sales[[#This Row],[GrossSales]]*sales[[#This Row],[DiscountRate]]</f>
        <v>380.42500000000001</v>
      </c>
      <c r="N364">
        <f>sales[[#This Row],[GrossSales]]-sales[[#This Row],[DiscountAmount]]</f>
        <v>3423.8249999999998</v>
      </c>
      <c r="O364">
        <f>sales[[#This Row],[Quantity]]*sales[[#This Row],[UnitCostAtSale]]</f>
        <v>2800</v>
      </c>
      <c r="P364">
        <f>sales[[#This Row],[SalesAfterDiscount]]-sales[[#This Row],[CostOfGoodsSold]]</f>
        <v>623.82499999999982</v>
      </c>
      <c r="Q364">
        <f>IFERROR(sales[[#This Row],[GrossProfit]]/sales[[#This Row],[SalesAfterDiscount]],0)</f>
        <v>0.18220119311004501</v>
      </c>
    </row>
    <row r="365" spans="1:17">
      <c r="A365" t="s">
        <v>871</v>
      </c>
      <c r="B365" t="s">
        <v>872</v>
      </c>
      <c r="C365" s="1">
        <v>45889</v>
      </c>
      <c r="D365" t="s">
        <v>175</v>
      </c>
      <c r="E365" t="s">
        <v>14</v>
      </c>
      <c r="F365" t="s">
        <v>555</v>
      </c>
      <c r="G365" t="s">
        <v>16</v>
      </c>
      <c r="H365">
        <v>3</v>
      </c>
      <c r="I365">
        <v>2403.0700000000002</v>
      </c>
      <c r="J365">
        <v>0</v>
      </c>
      <c r="K365">
        <v>2000</v>
      </c>
      <c r="L365">
        <f>sales[[#This Row],[Quantity]]*sales[[#This Row],[UnitPrice]]</f>
        <v>7209.2100000000009</v>
      </c>
      <c r="M365">
        <f>sales[[#This Row],[GrossSales]]*sales[[#This Row],[DiscountRate]]</f>
        <v>0</v>
      </c>
      <c r="N365">
        <f>sales[[#This Row],[GrossSales]]-sales[[#This Row],[DiscountAmount]]</f>
        <v>7209.2100000000009</v>
      </c>
      <c r="O365">
        <f>sales[[#This Row],[Quantity]]*sales[[#This Row],[UnitCostAtSale]]</f>
        <v>6000</v>
      </c>
      <c r="P365">
        <f>sales[[#This Row],[SalesAfterDiscount]]-sales[[#This Row],[CostOfGoodsSold]]</f>
        <v>1209.2100000000009</v>
      </c>
      <c r="Q365">
        <f>IFERROR(sales[[#This Row],[GrossProfit]]/sales[[#This Row],[SalesAfterDiscount]],0)</f>
        <v>0.167731277074742</v>
      </c>
    </row>
    <row r="366" spans="1:17">
      <c r="A366" t="s">
        <v>873</v>
      </c>
      <c r="B366" t="s">
        <v>874</v>
      </c>
      <c r="C366" s="1">
        <v>46044</v>
      </c>
      <c r="D366" t="s">
        <v>151</v>
      </c>
      <c r="E366" t="s">
        <v>14</v>
      </c>
      <c r="F366" t="s">
        <v>123</v>
      </c>
      <c r="G366" t="s">
        <v>22</v>
      </c>
      <c r="H366">
        <v>5</v>
      </c>
      <c r="I366">
        <v>11729.87</v>
      </c>
      <c r="J366">
        <v>0.15</v>
      </c>
      <c r="K366">
        <v>8950</v>
      </c>
      <c r="L366">
        <f>sales[[#This Row],[Quantity]]*sales[[#This Row],[UnitPrice]]</f>
        <v>58649.350000000006</v>
      </c>
      <c r="M366">
        <f>sales[[#This Row],[GrossSales]]*sales[[#This Row],[DiscountRate]]</f>
        <v>8797.4025000000001</v>
      </c>
      <c r="N366">
        <f>sales[[#This Row],[GrossSales]]-sales[[#This Row],[DiscountAmount]]</f>
        <v>49851.947500000009</v>
      </c>
      <c r="O366">
        <f>sales[[#This Row],[Quantity]]*sales[[#This Row],[UnitCostAtSale]]</f>
        <v>44750</v>
      </c>
      <c r="P366">
        <f>sales[[#This Row],[SalesAfterDiscount]]-sales[[#This Row],[CostOfGoodsSold]]</f>
        <v>5101.9475000000093</v>
      </c>
      <c r="Q366">
        <f>IFERROR(sales[[#This Row],[GrossProfit]]/sales[[#This Row],[SalesAfterDiscount]],0)</f>
        <v>0.10234198974874568</v>
      </c>
    </row>
    <row r="367" spans="1:17">
      <c r="A367" t="s">
        <v>875</v>
      </c>
      <c r="B367" t="s">
        <v>876</v>
      </c>
      <c r="C367" s="1">
        <v>45833</v>
      </c>
      <c r="D367" t="s">
        <v>175</v>
      </c>
      <c r="E367" t="s">
        <v>72</v>
      </c>
      <c r="F367" t="s">
        <v>257</v>
      </c>
      <c r="G367" t="s">
        <v>16</v>
      </c>
      <c r="H367">
        <v>1</v>
      </c>
      <c r="I367">
        <v>2403.0700000000002</v>
      </c>
      <c r="J367">
        <v>0.15</v>
      </c>
      <c r="K367">
        <v>2000</v>
      </c>
      <c r="L367">
        <f>sales[[#This Row],[Quantity]]*sales[[#This Row],[UnitPrice]]</f>
        <v>2403.0700000000002</v>
      </c>
      <c r="M367">
        <f>sales[[#This Row],[GrossSales]]*sales[[#This Row],[DiscountRate]]</f>
        <v>360.46050000000002</v>
      </c>
      <c r="N367">
        <f>sales[[#This Row],[GrossSales]]-sales[[#This Row],[DiscountAmount]]</f>
        <v>2042.6095</v>
      </c>
      <c r="O367">
        <f>sales[[#This Row],[Quantity]]*sales[[#This Row],[UnitCostAtSale]]</f>
        <v>2000</v>
      </c>
      <c r="P367">
        <f>sales[[#This Row],[SalesAfterDiscount]]-sales[[#This Row],[CostOfGoodsSold]]</f>
        <v>42.609500000000025</v>
      </c>
      <c r="Q367">
        <f>IFERROR(sales[[#This Row],[GrossProfit]]/sales[[#This Row],[SalesAfterDiscount]],0)</f>
        <v>2.0860325970284591E-2</v>
      </c>
    </row>
    <row r="368" spans="1:17">
      <c r="A368" t="s">
        <v>877</v>
      </c>
      <c r="B368" t="s">
        <v>878</v>
      </c>
      <c r="C368" s="1">
        <v>45755</v>
      </c>
      <c r="D368" t="s">
        <v>41</v>
      </c>
      <c r="E368" t="s">
        <v>50</v>
      </c>
      <c r="F368" t="s">
        <v>287</v>
      </c>
      <c r="G368" t="s">
        <v>16</v>
      </c>
      <c r="H368">
        <v>5</v>
      </c>
      <c r="I368">
        <v>17279.419999999998</v>
      </c>
      <c r="J368">
        <v>0</v>
      </c>
      <c r="K368">
        <v>13950</v>
      </c>
      <c r="L368">
        <f>sales[[#This Row],[Quantity]]*sales[[#This Row],[UnitPrice]]</f>
        <v>86397.099999999991</v>
      </c>
      <c r="M368">
        <f>sales[[#This Row],[GrossSales]]*sales[[#This Row],[DiscountRate]]</f>
        <v>0</v>
      </c>
      <c r="N368">
        <f>sales[[#This Row],[GrossSales]]-sales[[#This Row],[DiscountAmount]]</f>
        <v>86397.099999999991</v>
      </c>
      <c r="O368">
        <f>sales[[#This Row],[Quantity]]*sales[[#This Row],[UnitCostAtSale]]</f>
        <v>69750</v>
      </c>
      <c r="P368">
        <f>sales[[#This Row],[SalesAfterDiscount]]-sales[[#This Row],[CostOfGoodsSold]]</f>
        <v>16647.099999999991</v>
      </c>
      <c r="Q368">
        <f>IFERROR(sales[[#This Row],[GrossProfit]]/sales[[#This Row],[SalesAfterDiscount]],0)</f>
        <v>0.19268123582851732</v>
      </c>
    </row>
    <row r="369" spans="1:17">
      <c r="A369" t="s">
        <v>879</v>
      </c>
      <c r="B369" t="s">
        <v>880</v>
      </c>
      <c r="C369" s="1">
        <v>45705</v>
      </c>
      <c r="D369" t="s">
        <v>80</v>
      </c>
      <c r="E369" t="s">
        <v>46</v>
      </c>
      <c r="F369" t="s">
        <v>759</v>
      </c>
      <c r="G369" t="s">
        <v>22</v>
      </c>
      <c r="H369">
        <v>1</v>
      </c>
      <c r="I369">
        <v>19555.88</v>
      </c>
      <c r="J369">
        <v>0.1</v>
      </c>
      <c r="K369">
        <v>14200</v>
      </c>
      <c r="L369">
        <f>sales[[#This Row],[Quantity]]*sales[[#This Row],[UnitPrice]]</f>
        <v>19555.88</v>
      </c>
      <c r="M369">
        <f>sales[[#This Row],[GrossSales]]*sales[[#This Row],[DiscountRate]]</f>
        <v>1955.5880000000002</v>
      </c>
      <c r="N369">
        <f>sales[[#This Row],[GrossSales]]-sales[[#This Row],[DiscountAmount]]</f>
        <v>17600.292000000001</v>
      </c>
      <c r="O369">
        <f>sales[[#This Row],[Quantity]]*sales[[#This Row],[UnitCostAtSale]]</f>
        <v>14200</v>
      </c>
      <c r="P369">
        <f>sales[[#This Row],[SalesAfterDiscount]]-sales[[#This Row],[CostOfGoodsSold]]</f>
        <v>3400.2920000000013</v>
      </c>
      <c r="Q369">
        <f>IFERROR(sales[[#This Row],[GrossProfit]]/sales[[#This Row],[SalesAfterDiscount]],0)</f>
        <v>0.19319520380684599</v>
      </c>
    </row>
    <row r="370" spans="1:17">
      <c r="A370" t="s">
        <v>881</v>
      </c>
      <c r="B370" t="s">
        <v>882</v>
      </c>
      <c r="C370" s="1">
        <v>45980</v>
      </c>
      <c r="D370" t="s">
        <v>313</v>
      </c>
      <c r="E370" t="s">
        <v>46</v>
      </c>
      <c r="F370" t="s">
        <v>189</v>
      </c>
      <c r="G370" t="s">
        <v>16</v>
      </c>
      <c r="H370">
        <v>1</v>
      </c>
      <c r="I370">
        <v>3335.18</v>
      </c>
      <c r="J370">
        <v>0.05</v>
      </c>
      <c r="K370">
        <v>2600</v>
      </c>
      <c r="L370">
        <f>sales[[#This Row],[Quantity]]*sales[[#This Row],[UnitPrice]]</f>
        <v>3335.18</v>
      </c>
      <c r="M370">
        <f>sales[[#This Row],[GrossSales]]*sales[[#This Row],[DiscountRate]]</f>
        <v>166.75900000000001</v>
      </c>
      <c r="N370">
        <f>sales[[#This Row],[GrossSales]]-sales[[#This Row],[DiscountAmount]]</f>
        <v>3168.4209999999998</v>
      </c>
      <c r="O370">
        <f>sales[[#This Row],[Quantity]]*sales[[#This Row],[UnitCostAtSale]]</f>
        <v>2600</v>
      </c>
      <c r="P370">
        <f>sales[[#This Row],[SalesAfterDiscount]]-sales[[#This Row],[CostOfGoodsSold]]</f>
        <v>568.42099999999982</v>
      </c>
      <c r="Q370">
        <f>IFERROR(sales[[#This Row],[GrossProfit]]/sales[[#This Row],[SalesAfterDiscount]],0)</f>
        <v>0.17940197972428534</v>
      </c>
    </row>
    <row r="371" spans="1:17">
      <c r="A371" t="s">
        <v>883</v>
      </c>
      <c r="B371" t="s">
        <v>884</v>
      </c>
      <c r="C371" s="1">
        <v>45736</v>
      </c>
      <c r="D371" t="s">
        <v>99</v>
      </c>
      <c r="E371" t="s">
        <v>46</v>
      </c>
      <c r="F371" t="s">
        <v>21</v>
      </c>
      <c r="G371" t="s">
        <v>16</v>
      </c>
      <c r="H371">
        <v>3</v>
      </c>
      <c r="I371">
        <v>10644.48</v>
      </c>
      <c r="J371">
        <v>0.05</v>
      </c>
      <c r="K371">
        <v>7050</v>
      </c>
      <c r="L371">
        <f>sales[[#This Row],[Quantity]]*sales[[#This Row],[UnitPrice]]</f>
        <v>31933.439999999999</v>
      </c>
      <c r="M371">
        <f>sales[[#This Row],[GrossSales]]*sales[[#This Row],[DiscountRate]]</f>
        <v>1596.672</v>
      </c>
      <c r="N371">
        <f>sales[[#This Row],[GrossSales]]-sales[[#This Row],[DiscountAmount]]</f>
        <v>30336.768</v>
      </c>
      <c r="O371">
        <f>sales[[#This Row],[Quantity]]*sales[[#This Row],[UnitCostAtSale]]</f>
        <v>21150</v>
      </c>
      <c r="P371">
        <f>sales[[#This Row],[SalesAfterDiscount]]-sales[[#This Row],[CostOfGoodsSold]]</f>
        <v>9186.768</v>
      </c>
      <c r="Q371">
        <f>IFERROR(sales[[#This Row],[GrossProfit]]/sales[[#This Row],[SalesAfterDiscount]],0)</f>
        <v>0.30282619427356272</v>
      </c>
    </row>
    <row r="372" spans="1:17">
      <c r="A372" t="s">
        <v>885</v>
      </c>
      <c r="B372" t="s">
        <v>886</v>
      </c>
      <c r="C372" s="1">
        <v>45997</v>
      </c>
      <c r="D372" t="s">
        <v>49</v>
      </c>
      <c r="E372" t="s">
        <v>14</v>
      </c>
      <c r="F372" t="s">
        <v>106</v>
      </c>
      <c r="G372" t="s">
        <v>16</v>
      </c>
      <c r="H372">
        <v>4</v>
      </c>
      <c r="I372">
        <v>13787.88</v>
      </c>
      <c r="J372">
        <v>0.05</v>
      </c>
      <c r="K372">
        <v>9500</v>
      </c>
      <c r="L372">
        <f>sales[[#This Row],[Quantity]]*sales[[#This Row],[UnitPrice]]</f>
        <v>55151.519999999997</v>
      </c>
      <c r="M372">
        <f>sales[[#This Row],[GrossSales]]*sales[[#This Row],[DiscountRate]]</f>
        <v>2757.576</v>
      </c>
      <c r="N372">
        <f>sales[[#This Row],[GrossSales]]-sales[[#This Row],[DiscountAmount]]</f>
        <v>52393.943999999996</v>
      </c>
      <c r="O372">
        <f>sales[[#This Row],[Quantity]]*sales[[#This Row],[UnitCostAtSale]]</f>
        <v>38000</v>
      </c>
      <c r="P372">
        <f>sales[[#This Row],[SalesAfterDiscount]]-sales[[#This Row],[CostOfGoodsSold]]</f>
        <v>14393.943999999996</v>
      </c>
      <c r="Q372">
        <f>IFERROR(sales[[#This Row],[GrossProfit]]/sales[[#This Row],[SalesAfterDiscount]],0)</f>
        <v>0.27472533848568448</v>
      </c>
    </row>
    <row r="373" spans="1:17">
      <c r="A373" t="s">
        <v>887</v>
      </c>
      <c r="B373" t="s">
        <v>888</v>
      </c>
      <c r="C373" s="1">
        <v>45758</v>
      </c>
      <c r="D373" t="s">
        <v>60</v>
      </c>
      <c r="E373" t="s">
        <v>14</v>
      </c>
      <c r="F373" t="s">
        <v>542</v>
      </c>
      <c r="G373" t="s">
        <v>16</v>
      </c>
      <c r="H373">
        <v>4</v>
      </c>
      <c r="I373">
        <v>9389.4699999999993</v>
      </c>
      <c r="J373">
        <v>0.05</v>
      </c>
      <c r="K373">
        <v>7250</v>
      </c>
      <c r="L373">
        <f>sales[[#This Row],[Quantity]]*sales[[#This Row],[UnitPrice]]</f>
        <v>37557.879999999997</v>
      </c>
      <c r="M373">
        <f>sales[[#This Row],[GrossSales]]*sales[[#This Row],[DiscountRate]]</f>
        <v>1877.894</v>
      </c>
      <c r="N373">
        <f>sales[[#This Row],[GrossSales]]-sales[[#This Row],[DiscountAmount]]</f>
        <v>35679.985999999997</v>
      </c>
      <c r="O373">
        <f>sales[[#This Row],[Quantity]]*sales[[#This Row],[UnitCostAtSale]]</f>
        <v>29000</v>
      </c>
      <c r="P373">
        <f>sales[[#This Row],[SalesAfterDiscount]]-sales[[#This Row],[CostOfGoodsSold]]</f>
        <v>6679.9859999999971</v>
      </c>
      <c r="Q373">
        <f>IFERROR(sales[[#This Row],[GrossProfit]]/sales[[#This Row],[SalesAfterDiscount]],0)</f>
        <v>0.18721941202555398</v>
      </c>
    </row>
    <row r="374" spans="1:17">
      <c r="A374" t="s">
        <v>889</v>
      </c>
      <c r="B374" t="s">
        <v>890</v>
      </c>
      <c r="C374" s="1">
        <v>45992</v>
      </c>
      <c r="D374" t="s">
        <v>202</v>
      </c>
      <c r="E374" t="s">
        <v>72</v>
      </c>
      <c r="F374" t="s">
        <v>500</v>
      </c>
      <c r="G374" t="s">
        <v>22</v>
      </c>
      <c r="H374">
        <v>1</v>
      </c>
      <c r="I374">
        <v>3559.5</v>
      </c>
      <c r="J374">
        <v>0.1</v>
      </c>
      <c r="K374">
        <v>2250</v>
      </c>
      <c r="L374">
        <f>sales[[#This Row],[Quantity]]*sales[[#This Row],[UnitPrice]]</f>
        <v>3559.5</v>
      </c>
      <c r="M374">
        <f>sales[[#This Row],[GrossSales]]*sales[[#This Row],[DiscountRate]]</f>
        <v>355.95000000000005</v>
      </c>
      <c r="N374">
        <f>sales[[#This Row],[GrossSales]]-sales[[#This Row],[DiscountAmount]]</f>
        <v>3203.55</v>
      </c>
      <c r="O374">
        <f>sales[[#This Row],[Quantity]]*sales[[#This Row],[UnitCostAtSale]]</f>
        <v>2250</v>
      </c>
      <c r="P374">
        <f>sales[[#This Row],[SalesAfterDiscount]]-sales[[#This Row],[CostOfGoodsSold]]</f>
        <v>953.55000000000018</v>
      </c>
      <c r="Q374">
        <f>IFERROR(sales[[#This Row],[GrossProfit]]/sales[[#This Row],[SalesAfterDiscount]],0)</f>
        <v>0.2976541649108021</v>
      </c>
    </row>
    <row r="375" spans="1:17">
      <c r="A375" t="s">
        <v>891</v>
      </c>
      <c r="B375" t="s">
        <v>892</v>
      </c>
      <c r="C375" s="1">
        <v>46042</v>
      </c>
      <c r="D375" t="s">
        <v>13</v>
      </c>
      <c r="E375" t="s">
        <v>46</v>
      </c>
      <c r="F375" t="s">
        <v>81</v>
      </c>
      <c r="G375" t="s">
        <v>16</v>
      </c>
      <c r="H375">
        <v>4</v>
      </c>
      <c r="I375">
        <v>6484.94</v>
      </c>
      <c r="J375">
        <v>0.05</v>
      </c>
      <c r="K375">
        <v>4300</v>
      </c>
      <c r="L375">
        <f>sales[[#This Row],[Quantity]]*sales[[#This Row],[UnitPrice]]</f>
        <v>25939.759999999998</v>
      </c>
      <c r="M375">
        <f>sales[[#This Row],[GrossSales]]*sales[[#This Row],[DiscountRate]]</f>
        <v>1296.9880000000001</v>
      </c>
      <c r="N375">
        <f>sales[[#This Row],[GrossSales]]-sales[[#This Row],[DiscountAmount]]</f>
        <v>24642.771999999997</v>
      </c>
      <c r="O375">
        <f>sales[[#This Row],[Quantity]]*sales[[#This Row],[UnitCostAtSale]]</f>
        <v>17200</v>
      </c>
      <c r="P375">
        <f>sales[[#This Row],[SalesAfterDiscount]]-sales[[#This Row],[CostOfGoodsSold]]</f>
        <v>7442.7719999999972</v>
      </c>
      <c r="Q375">
        <f>IFERROR(sales[[#This Row],[GrossProfit]]/sales[[#This Row],[SalesAfterDiscount]],0)</f>
        <v>0.30202657395848154</v>
      </c>
    </row>
    <row r="376" spans="1:17">
      <c r="A376" t="s">
        <v>893</v>
      </c>
      <c r="B376" t="s">
        <v>894</v>
      </c>
      <c r="C376" s="1">
        <v>45960</v>
      </c>
      <c r="D376" t="s">
        <v>71</v>
      </c>
      <c r="E376" t="s">
        <v>14</v>
      </c>
      <c r="F376" t="s">
        <v>266</v>
      </c>
      <c r="G376" t="s">
        <v>22</v>
      </c>
      <c r="H376">
        <v>2</v>
      </c>
      <c r="I376">
        <v>5799.34</v>
      </c>
      <c r="J376">
        <v>0</v>
      </c>
      <c r="K376">
        <v>3800</v>
      </c>
      <c r="L376">
        <f>sales[[#This Row],[Quantity]]*sales[[#This Row],[UnitPrice]]</f>
        <v>11598.68</v>
      </c>
      <c r="M376">
        <f>sales[[#This Row],[GrossSales]]*sales[[#This Row],[DiscountRate]]</f>
        <v>0</v>
      </c>
      <c r="N376">
        <f>sales[[#This Row],[GrossSales]]-sales[[#This Row],[DiscountAmount]]</f>
        <v>11598.68</v>
      </c>
      <c r="O376">
        <f>sales[[#This Row],[Quantity]]*sales[[#This Row],[UnitCostAtSale]]</f>
        <v>7600</v>
      </c>
      <c r="P376">
        <f>sales[[#This Row],[SalesAfterDiscount]]-sales[[#This Row],[CostOfGoodsSold]]</f>
        <v>3998.6800000000003</v>
      </c>
      <c r="Q376">
        <f>IFERROR(sales[[#This Row],[GrossProfit]]/sales[[#This Row],[SalesAfterDiscount]],0)</f>
        <v>0.34475302361992916</v>
      </c>
    </row>
    <row r="377" spans="1:17">
      <c r="A377" t="s">
        <v>895</v>
      </c>
      <c r="B377" t="s">
        <v>896</v>
      </c>
      <c r="C377" s="1">
        <v>45815</v>
      </c>
      <c r="D377" t="s">
        <v>151</v>
      </c>
      <c r="E377" t="s">
        <v>20</v>
      </c>
      <c r="F377" t="s">
        <v>116</v>
      </c>
      <c r="G377" t="s">
        <v>22</v>
      </c>
      <c r="H377">
        <v>4</v>
      </c>
      <c r="I377">
        <v>11729.87</v>
      </c>
      <c r="J377">
        <v>0.1</v>
      </c>
      <c r="K377">
        <v>8950</v>
      </c>
      <c r="L377">
        <f>sales[[#This Row],[Quantity]]*sales[[#This Row],[UnitPrice]]</f>
        <v>46919.48</v>
      </c>
      <c r="M377">
        <f>sales[[#This Row],[GrossSales]]*sales[[#This Row],[DiscountRate]]</f>
        <v>4691.9480000000003</v>
      </c>
      <c r="N377">
        <f>sales[[#This Row],[GrossSales]]-sales[[#This Row],[DiscountAmount]]</f>
        <v>42227.532000000007</v>
      </c>
      <c r="O377">
        <f>sales[[#This Row],[Quantity]]*sales[[#This Row],[UnitCostAtSale]]</f>
        <v>35800</v>
      </c>
      <c r="P377">
        <f>sales[[#This Row],[SalesAfterDiscount]]-sales[[#This Row],[CostOfGoodsSold]]</f>
        <v>6427.5320000000065</v>
      </c>
      <c r="Q377">
        <f>IFERROR(sales[[#This Row],[GrossProfit]]/sales[[#This Row],[SalesAfterDiscount]],0)</f>
        <v>0.15221187920714868</v>
      </c>
    </row>
    <row r="378" spans="1:17">
      <c r="A378" t="s">
        <v>897</v>
      </c>
      <c r="B378" t="s">
        <v>898</v>
      </c>
      <c r="C378" s="1">
        <v>45973</v>
      </c>
      <c r="D378" t="s">
        <v>161</v>
      </c>
      <c r="E378" t="s">
        <v>20</v>
      </c>
      <c r="F378" t="s">
        <v>116</v>
      </c>
      <c r="G378" t="s">
        <v>22</v>
      </c>
      <c r="H378">
        <v>4</v>
      </c>
      <c r="I378">
        <v>3694.44</v>
      </c>
      <c r="J378">
        <v>0.1</v>
      </c>
      <c r="K378">
        <v>3100</v>
      </c>
      <c r="L378">
        <f>sales[[#This Row],[Quantity]]*sales[[#This Row],[UnitPrice]]</f>
        <v>14777.76</v>
      </c>
      <c r="M378">
        <f>sales[[#This Row],[GrossSales]]*sales[[#This Row],[DiscountRate]]</f>
        <v>1477.7760000000001</v>
      </c>
      <c r="N378">
        <f>sales[[#This Row],[GrossSales]]-sales[[#This Row],[DiscountAmount]]</f>
        <v>13299.984</v>
      </c>
      <c r="O378">
        <f>sales[[#This Row],[Quantity]]*sales[[#This Row],[UnitCostAtSale]]</f>
        <v>12400</v>
      </c>
      <c r="P378">
        <f>sales[[#This Row],[SalesAfterDiscount]]-sales[[#This Row],[CostOfGoodsSold]]</f>
        <v>899.98400000000038</v>
      </c>
      <c r="Q378">
        <f>IFERROR(sales[[#This Row],[GrossProfit]]/sales[[#This Row],[SalesAfterDiscount]],0)</f>
        <v>6.7668051329986587E-2</v>
      </c>
    </row>
    <row r="379" spans="1:17">
      <c r="A379" t="s">
        <v>899</v>
      </c>
      <c r="B379" t="s">
        <v>900</v>
      </c>
      <c r="C379" s="1">
        <v>45849</v>
      </c>
      <c r="D379" t="s">
        <v>71</v>
      </c>
      <c r="E379" t="s">
        <v>46</v>
      </c>
      <c r="F379" t="s">
        <v>479</v>
      </c>
      <c r="G379" t="s">
        <v>16</v>
      </c>
      <c r="H379">
        <v>4</v>
      </c>
      <c r="I379">
        <v>5799.34</v>
      </c>
      <c r="J379">
        <v>0.15</v>
      </c>
      <c r="K379">
        <v>3800</v>
      </c>
      <c r="L379">
        <f>sales[[#This Row],[Quantity]]*sales[[#This Row],[UnitPrice]]</f>
        <v>23197.360000000001</v>
      </c>
      <c r="M379">
        <f>sales[[#This Row],[GrossSales]]*sales[[#This Row],[DiscountRate]]</f>
        <v>3479.6039999999998</v>
      </c>
      <c r="N379">
        <f>sales[[#This Row],[GrossSales]]-sales[[#This Row],[DiscountAmount]]</f>
        <v>19717.756000000001</v>
      </c>
      <c r="O379">
        <f>sales[[#This Row],[Quantity]]*sales[[#This Row],[UnitCostAtSale]]</f>
        <v>15200</v>
      </c>
      <c r="P379">
        <f>sales[[#This Row],[SalesAfterDiscount]]-sales[[#This Row],[CostOfGoodsSold]]</f>
        <v>4517.7560000000012</v>
      </c>
      <c r="Q379">
        <f>IFERROR(sales[[#This Row],[GrossProfit]]/sales[[#This Row],[SalesAfterDiscount]],0)</f>
        <v>0.22912120425874025</v>
      </c>
    </row>
    <row r="380" spans="1:17">
      <c r="A380" t="s">
        <v>901</v>
      </c>
      <c r="B380" t="s">
        <v>902</v>
      </c>
      <c r="C380" s="1">
        <v>45684</v>
      </c>
      <c r="D380" t="s">
        <v>37</v>
      </c>
      <c r="E380" t="s">
        <v>46</v>
      </c>
      <c r="F380" t="s">
        <v>555</v>
      </c>
      <c r="G380" t="s">
        <v>16</v>
      </c>
      <c r="H380">
        <v>1</v>
      </c>
      <c r="I380">
        <v>17336.23</v>
      </c>
      <c r="J380">
        <v>0.1</v>
      </c>
      <c r="K380">
        <v>14200</v>
      </c>
      <c r="L380">
        <f>sales[[#This Row],[Quantity]]*sales[[#This Row],[UnitPrice]]</f>
        <v>17336.23</v>
      </c>
      <c r="M380">
        <f>sales[[#This Row],[GrossSales]]*sales[[#This Row],[DiscountRate]]</f>
        <v>1733.623</v>
      </c>
      <c r="N380">
        <f>sales[[#This Row],[GrossSales]]-sales[[#This Row],[DiscountAmount]]</f>
        <v>15602.607</v>
      </c>
      <c r="O380">
        <f>sales[[#This Row],[Quantity]]*sales[[#This Row],[UnitCostAtSale]]</f>
        <v>14200</v>
      </c>
      <c r="P380">
        <f>sales[[#This Row],[SalesAfterDiscount]]-sales[[#This Row],[CostOfGoodsSold]]</f>
        <v>1402.607</v>
      </c>
      <c r="Q380">
        <f>IFERROR(sales[[#This Row],[GrossProfit]]/sales[[#This Row],[SalesAfterDiscount]],0)</f>
        <v>8.9895682176702907E-2</v>
      </c>
    </row>
    <row r="381" spans="1:17">
      <c r="A381" t="s">
        <v>903</v>
      </c>
      <c r="B381" t="s">
        <v>904</v>
      </c>
      <c r="C381" s="1">
        <v>46052</v>
      </c>
      <c r="D381" t="s">
        <v>76</v>
      </c>
      <c r="E381" t="s">
        <v>72</v>
      </c>
      <c r="F381" t="s">
        <v>226</v>
      </c>
      <c r="G381" t="s">
        <v>22</v>
      </c>
      <c r="H381">
        <v>1</v>
      </c>
      <c r="I381">
        <v>11999.07</v>
      </c>
      <c r="J381">
        <v>0.1</v>
      </c>
      <c r="K381">
        <v>9550</v>
      </c>
      <c r="L381">
        <f>sales[[#This Row],[Quantity]]*sales[[#This Row],[UnitPrice]]</f>
        <v>11999.07</v>
      </c>
      <c r="M381">
        <f>sales[[#This Row],[GrossSales]]*sales[[#This Row],[DiscountRate]]</f>
        <v>1199.9069999999999</v>
      </c>
      <c r="N381">
        <f>sales[[#This Row],[GrossSales]]-sales[[#This Row],[DiscountAmount]]</f>
        <v>10799.163</v>
      </c>
      <c r="O381">
        <f>sales[[#This Row],[Quantity]]*sales[[#This Row],[UnitCostAtSale]]</f>
        <v>9550</v>
      </c>
      <c r="P381">
        <f>sales[[#This Row],[SalesAfterDiscount]]-sales[[#This Row],[CostOfGoodsSold]]</f>
        <v>1249.1630000000005</v>
      </c>
      <c r="Q381">
        <f>IFERROR(sales[[#This Row],[GrossProfit]]/sales[[#This Row],[SalesAfterDiscount]],0)</f>
        <v>0.11567220533665437</v>
      </c>
    </row>
    <row r="382" spans="1:17">
      <c r="A382" t="s">
        <v>905</v>
      </c>
      <c r="B382" t="s">
        <v>906</v>
      </c>
      <c r="C382" s="1">
        <v>45906</v>
      </c>
      <c r="D382" t="s">
        <v>87</v>
      </c>
      <c r="E382" t="s">
        <v>50</v>
      </c>
      <c r="F382" t="s">
        <v>788</v>
      </c>
      <c r="G382" t="s">
        <v>16</v>
      </c>
      <c r="H382">
        <v>5</v>
      </c>
      <c r="I382">
        <v>9337.2199999999993</v>
      </c>
      <c r="J382">
        <v>0.2</v>
      </c>
      <c r="K382">
        <v>6050</v>
      </c>
      <c r="L382">
        <f>sales[[#This Row],[Quantity]]*sales[[#This Row],[UnitPrice]]</f>
        <v>46686.1</v>
      </c>
      <c r="M382">
        <f>sales[[#This Row],[GrossSales]]*sales[[#This Row],[DiscountRate]]</f>
        <v>9337.2199999999993</v>
      </c>
      <c r="N382">
        <f>sales[[#This Row],[GrossSales]]-sales[[#This Row],[DiscountAmount]]</f>
        <v>37348.879999999997</v>
      </c>
      <c r="O382">
        <f>sales[[#This Row],[Quantity]]*sales[[#This Row],[UnitCostAtSale]]</f>
        <v>30250</v>
      </c>
      <c r="P382">
        <f>sales[[#This Row],[SalesAfterDiscount]]-sales[[#This Row],[CostOfGoodsSold]]</f>
        <v>7098.8799999999974</v>
      </c>
      <c r="Q382">
        <f>IFERROR(sales[[#This Row],[GrossProfit]]/sales[[#This Row],[SalesAfterDiscount]],0)</f>
        <v>0.19006942109107416</v>
      </c>
    </row>
    <row r="383" spans="1:17">
      <c r="A383" t="s">
        <v>907</v>
      </c>
      <c r="B383" t="s">
        <v>908</v>
      </c>
      <c r="C383" s="1">
        <v>45800</v>
      </c>
      <c r="D383" t="s">
        <v>313</v>
      </c>
      <c r="E383" t="s">
        <v>20</v>
      </c>
      <c r="F383" t="s">
        <v>428</v>
      </c>
      <c r="G383" t="s">
        <v>22</v>
      </c>
      <c r="H383">
        <v>3</v>
      </c>
      <c r="I383">
        <v>3335.18</v>
      </c>
      <c r="J383">
        <v>0.1</v>
      </c>
      <c r="K383">
        <v>2600</v>
      </c>
      <c r="L383">
        <f>sales[[#This Row],[Quantity]]*sales[[#This Row],[UnitPrice]]</f>
        <v>10005.539999999999</v>
      </c>
      <c r="M383">
        <f>sales[[#This Row],[GrossSales]]*sales[[#This Row],[DiscountRate]]</f>
        <v>1000.554</v>
      </c>
      <c r="N383">
        <f>sales[[#This Row],[GrossSales]]-sales[[#This Row],[DiscountAmount]]</f>
        <v>9004.985999999999</v>
      </c>
      <c r="O383">
        <f>sales[[#This Row],[Quantity]]*sales[[#This Row],[UnitCostAtSale]]</f>
        <v>7800</v>
      </c>
      <c r="P383">
        <f>sales[[#This Row],[SalesAfterDiscount]]-sales[[#This Row],[CostOfGoodsSold]]</f>
        <v>1204.985999999999</v>
      </c>
      <c r="Q383">
        <f>IFERROR(sales[[#This Row],[GrossProfit]]/sales[[#This Row],[SalesAfterDiscount]],0)</f>
        <v>0.13381320082007891</v>
      </c>
    </row>
    <row r="384" spans="1:17">
      <c r="A384" t="s">
        <v>909</v>
      </c>
      <c r="B384" t="s">
        <v>910</v>
      </c>
      <c r="C384" s="1">
        <v>45829</v>
      </c>
      <c r="D384" t="s">
        <v>71</v>
      </c>
      <c r="E384" t="s">
        <v>72</v>
      </c>
      <c r="F384" t="s">
        <v>220</v>
      </c>
      <c r="G384" t="s">
        <v>16</v>
      </c>
      <c r="H384">
        <v>4</v>
      </c>
      <c r="I384">
        <v>5799.34</v>
      </c>
      <c r="J384">
        <v>0.1</v>
      </c>
      <c r="K384">
        <v>3800</v>
      </c>
      <c r="L384">
        <f>sales[[#This Row],[Quantity]]*sales[[#This Row],[UnitPrice]]</f>
        <v>23197.360000000001</v>
      </c>
      <c r="M384">
        <f>sales[[#This Row],[GrossSales]]*sales[[#This Row],[DiscountRate]]</f>
        <v>2319.7360000000003</v>
      </c>
      <c r="N384">
        <f>sales[[#This Row],[GrossSales]]-sales[[#This Row],[DiscountAmount]]</f>
        <v>20877.624</v>
      </c>
      <c r="O384">
        <f>sales[[#This Row],[Quantity]]*sales[[#This Row],[UnitCostAtSale]]</f>
        <v>15200</v>
      </c>
      <c r="P384">
        <f>sales[[#This Row],[SalesAfterDiscount]]-sales[[#This Row],[CostOfGoodsSold]]</f>
        <v>5677.6239999999998</v>
      </c>
      <c r="Q384">
        <f>IFERROR(sales[[#This Row],[GrossProfit]]/sales[[#This Row],[SalesAfterDiscount]],0)</f>
        <v>0.27194780402214352</v>
      </c>
    </row>
    <row r="385" spans="1:17">
      <c r="A385" t="s">
        <v>911</v>
      </c>
      <c r="B385" t="s">
        <v>912</v>
      </c>
      <c r="C385" s="1">
        <v>45736</v>
      </c>
      <c r="D385" t="s">
        <v>416</v>
      </c>
      <c r="E385" t="s">
        <v>50</v>
      </c>
      <c r="F385" t="s">
        <v>51</v>
      </c>
      <c r="G385" t="s">
        <v>16</v>
      </c>
      <c r="H385">
        <v>3</v>
      </c>
      <c r="I385">
        <v>3804.25</v>
      </c>
      <c r="J385">
        <v>0.1</v>
      </c>
      <c r="K385">
        <v>2800</v>
      </c>
      <c r="L385">
        <f>sales[[#This Row],[Quantity]]*sales[[#This Row],[UnitPrice]]</f>
        <v>11412.75</v>
      </c>
      <c r="M385">
        <f>sales[[#This Row],[GrossSales]]*sales[[#This Row],[DiscountRate]]</f>
        <v>1141.2750000000001</v>
      </c>
      <c r="N385">
        <f>sales[[#This Row],[GrossSales]]-sales[[#This Row],[DiscountAmount]]</f>
        <v>10271.475</v>
      </c>
      <c r="O385">
        <f>sales[[#This Row],[Quantity]]*sales[[#This Row],[UnitCostAtSale]]</f>
        <v>8400</v>
      </c>
      <c r="P385">
        <f>sales[[#This Row],[SalesAfterDiscount]]-sales[[#This Row],[CostOfGoodsSold]]</f>
        <v>1871.4750000000004</v>
      </c>
      <c r="Q385">
        <f>IFERROR(sales[[#This Row],[GrossProfit]]/sales[[#This Row],[SalesAfterDiscount]],0)</f>
        <v>0.18220119311004507</v>
      </c>
    </row>
    <row r="386" spans="1:17">
      <c r="A386" t="s">
        <v>913</v>
      </c>
      <c r="B386" t="s">
        <v>914</v>
      </c>
      <c r="C386" s="1">
        <v>45858</v>
      </c>
      <c r="D386" t="s">
        <v>95</v>
      </c>
      <c r="E386" t="s">
        <v>50</v>
      </c>
      <c r="F386" t="s">
        <v>220</v>
      </c>
      <c r="G386" t="s">
        <v>22</v>
      </c>
      <c r="H386">
        <v>4</v>
      </c>
      <c r="I386">
        <v>12048.66</v>
      </c>
      <c r="J386">
        <v>0</v>
      </c>
      <c r="K386">
        <v>9900</v>
      </c>
      <c r="L386">
        <f>sales[[#This Row],[Quantity]]*sales[[#This Row],[UnitPrice]]</f>
        <v>48194.64</v>
      </c>
      <c r="M386">
        <f>sales[[#This Row],[GrossSales]]*sales[[#This Row],[DiscountRate]]</f>
        <v>0</v>
      </c>
      <c r="N386">
        <f>sales[[#This Row],[GrossSales]]-sales[[#This Row],[DiscountAmount]]</f>
        <v>48194.64</v>
      </c>
      <c r="O386">
        <f>sales[[#This Row],[Quantity]]*sales[[#This Row],[UnitCostAtSale]]</f>
        <v>39600</v>
      </c>
      <c r="P386">
        <f>sales[[#This Row],[SalesAfterDiscount]]-sales[[#This Row],[CostOfGoodsSold]]</f>
        <v>8594.64</v>
      </c>
      <c r="Q386">
        <f>IFERROR(sales[[#This Row],[GrossProfit]]/sales[[#This Row],[SalesAfterDiscount]],0)</f>
        <v>0.17833186429030282</v>
      </c>
    </row>
    <row r="387" spans="1:17">
      <c r="A387" t="s">
        <v>915</v>
      </c>
      <c r="B387" t="s">
        <v>916</v>
      </c>
      <c r="C387" s="1">
        <v>45998</v>
      </c>
      <c r="D387" t="s">
        <v>151</v>
      </c>
      <c r="E387" t="s">
        <v>20</v>
      </c>
      <c r="F387" t="s">
        <v>34</v>
      </c>
      <c r="G387" t="s">
        <v>16</v>
      </c>
      <c r="H387">
        <v>5</v>
      </c>
      <c r="I387">
        <v>11729.87</v>
      </c>
      <c r="J387">
        <v>0.15</v>
      </c>
      <c r="K387">
        <v>8950</v>
      </c>
      <c r="L387">
        <f>sales[[#This Row],[Quantity]]*sales[[#This Row],[UnitPrice]]</f>
        <v>58649.350000000006</v>
      </c>
      <c r="M387">
        <f>sales[[#This Row],[GrossSales]]*sales[[#This Row],[DiscountRate]]</f>
        <v>8797.4025000000001</v>
      </c>
      <c r="N387">
        <f>sales[[#This Row],[GrossSales]]-sales[[#This Row],[DiscountAmount]]</f>
        <v>49851.947500000009</v>
      </c>
      <c r="O387">
        <f>sales[[#This Row],[Quantity]]*sales[[#This Row],[UnitCostAtSale]]</f>
        <v>44750</v>
      </c>
      <c r="P387">
        <f>sales[[#This Row],[SalesAfterDiscount]]-sales[[#This Row],[CostOfGoodsSold]]</f>
        <v>5101.9475000000093</v>
      </c>
      <c r="Q387">
        <f>IFERROR(sales[[#This Row],[GrossProfit]]/sales[[#This Row],[SalesAfterDiscount]],0)</f>
        <v>0.10234198974874568</v>
      </c>
    </row>
    <row r="388" spans="1:17">
      <c r="A388" t="s">
        <v>917</v>
      </c>
      <c r="B388" t="s">
        <v>918</v>
      </c>
      <c r="C388" s="1">
        <v>45797</v>
      </c>
      <c r="D388" t="s">
        <v>316</v>
      </c>
      <c r="E388" t="s">
        <v>46</v>
      </c>
      <c r="F388" t="s">
        <v>619</v>
      </c>
      <c r="G388" t="s">
        <v>22</v>
      </c>
      <c r="H388">
        <v>3</v>
      </c>
      <c r="I388">
        <v>9371.8700000000008</v>
      </c>
      <c r="J388">
        <v>0.1</v>
      </c>
      <c r="K388">
        <v>5750</v>
      </c>
      <c r="L388">
        <f>sales[[#This Row],[Quantity]]*sales[[#This Row],[UnitPrice]]</f>
        <v>28115.61</v>
      </c>
      <c r="M388">
        <f>sales[[#This Row],[GrossSales]]*sales[[#This Row],[DiscountRate]]</f>
        <v>2811.5610000000001</v>
      </c>
      <c r="N388">
        <f>sales[[#This Row],[GrossSales]]-sales[[#This Row],[DiscountAmount]]</f>
        <v>25304.048999999999</v>
      </c>
      <c r="O388">
        <f>sales[[#This Row],[Quantity]]*sales[[#This Row],[UnitCostAtSale]]</f>
        <v>17250</v>
      </c>
      <c r="P388">
        <f>sales[[#This Row],[SalesAfterDiscount]]-sales[[#This Row],[CostOfGoodsSold]]</f>
        <v>8054.0489999999991</v>
      </c>
      <c r="Q388">
        <f>IFERROR(sales[[#This Row],[GrossProfit]]/sales[[#This Row],[SalesAfterDiscount]],0)</f>
        <v>0.31829091857986835</v>
      </c>
    </row>
    <row r="389" spans="1:17">
      <c r="A389" t="s">
        <v>919</v>
      </c>
      <c r="B389" t="s">
        <v>920</v>
      </c>
      <c r="C389" s="1">
        <v>45979</v>
      </c>
      <c r="D389" t="s">
        <v>19</v>
      </c>
      <c r="E389" t="s">
        <v>20</v>
      </c>
      <c r="F389" t="s">
        <v>596</v>
      </c>
      <c r="G389" t="s">
        <v>16</v>
      </c>
      <c r="H389">
        <v>2</v>
      </c>
      <c r="I389">
        <v>12193.29</v>
      </c>
      <c r="J389">
        <v>0.15</v>
      </c>
      <c r="K389">
        <v>9950</v>
      </c>
      <c r="L389">
        <f>sales[[#This Row],[Quantity]]*sales[[#This Row],[UnitPrice]]</f>
        <v>24386.58</v>
      </c>
      <c r="M389">
        <f>sales[[#This Row],[GrossSales]]*sales[[#This Row],[DiscountRate]]</f>
        <v>3657.9870000000001</v>
      </c>
      <c r="N389">
        <f>sales[[#This Row],[GrossSales]]-sales[[#This Row],[DiscountAmount]]</f>
        <v>20728.593000000001</v>
      </c>
      <c r="O389">
        <f>sales[[#This Row],[Quantity]]*sales[[#This Row],[UnitCostAtSale]]</f>
        <v>19900</v>
      </c>
      <c r="P389">
        <f>sales[[#This Row],[SalesAfterDiscount]]-sales[[#This Row],[CostOfGoodsSold]]</f>
        <v>828.59300000000076</v>
      </c>
      <c r="Q389">
        <f>IFERROR(sales[[#This Row],[GrossProfit]]/sales[[#This Row],[SalesAfterDiscount]],0)</f>
        <v>3.9973431867758737E-2</v>
      </c>
    </row>
    <row r="390" spans="1:17">
      <c r="A390" t="s">
        <v>921</v>
      </c>
      <c r="B390" t="s">
        <v>922</v>
      </c>
      <c r="C390" s="1">
        <v>45906</v>
      </c>
      <c r="D390" t="s">
        <v>41</v>
      </c>
      <c r="E390" t="s">
        <v>20</v>
      </c>
      <c r="F390" t="s">
        <v>419</v>
      </c>
      <c r="G390" t="s">
        <v>16</v>
      </c>
      <c r="H390">
        <v>3</v>
      </c>
      <c r="I390">
        <v>17279.419999999998</v>
      </c>
      <c r="J390">
        <v>0.15</v>
      </c>
      <c r="K390">
        <v>13950</v>
      </c>
      <c r="L390">
        <f>sales[[#This Row],[Quantity]]*sales[[#This Row],[UnitPrice]]</f>
        <v>51838.259999999995</v>
      </c>
      <c r="M390">
        <f>sales[[#This Row],[GrossSales]]*sales[[#This Row],[DiscountRate]]</f>
        <v>7775.7389999999987</v>
      </c>
      <c r="N390">
        <f>sales[[#This Row],[GrossSales]]-sales[[#This Row],[DiscountAmount]]</f>
        <v>44062.520999999993</v>
      </c>
      <c r="O390">
        <f>sales[[#This Row],[Quantity]]*sales[[#This Row],[UnitCostAtSale]]</f>
        <v>41850</v>
      </c>
      <c r="P390">
        <f>sales[[#This Row],[SalesAfterDiscount]]-sales[[#This Row],[CostOfGoodsSold]]</f>
        <v>2212.5209999999934</v>
      </c>
      <c r="Q390">
        <f>IFERROR(sales[[#This Row],[GrossProfit]]/sales[[#This Row],[SalesAfterDiscount]],0)</f>
        <v>5.0213218621785023E-2</v>
      </c>
    </row>
    <row r="391" spans="1:17">
      <c r="A391" t="s">
        <v>923</v>
      </c>
      <c r="B391" t="s">
        <v>924</v>
      </c>
      <c r="C391" s="1">
        <v>45862</v>
      </c>
      <c r="D391" t="s">
        <v>37</v>
      </c>
      <c r="E391" t="s">
        <v>50</v>
      </c>
      <c r="F391" t="s">
        <v>788</v>
      </c>
      <c r="G391" t="s">
        <v>22</v>
      </c>
      <c r="H391">
        <v>5</v>
      </c>
      <c r="I391">
        <v>17336.23</v>
      </c>
      <c r="J391">
        <v>0.2</v>
      </c>
      <c r="K391">
        <v>14200</v>
      </c>
      <c r="L391">
        <f>sales[[#This Row],[Quantity]]*sales[[#This Row],[UnitPrice]]</f>
        <v>86681.15</v>
      </c>
      <c r="M391">
        <f>sales[[#This Row],[GrossSales]]*sales[[#This Row],[DiscountRate]]</f>
        <v>17336.23</v>
      </c>
      <c r="N391">
        <f>sales[[#This Row],[GrossSales]]-sales[[#This Row],[DiscountAmount]]</f>
        <v>69344.92</v>
      </c>
      <c r="O391">
        <f>sales[[#This Row],[Quantity]]*sales[[#This Row],[UnitCostAtSale]]</f>
        <v>71000</v>
      </c>
      <c r="P391">
        <f>sales[[#This Row],[SalesAfterDiscount]]-sales[[#This Row],[CostOfGoodsSold]]</f>
        <v>-1655.0800000000017</v>
      </c>
      <c r="Q391">
        <f>IFERROR(sales[[#This Row],[GrossProfit]]/sales[[#This Row],[SalesAfterDiscount]],0)</f>
        <v>-2.3867357551209258E-2</v>
      </c>
    </row>
    <row r="392" spans="1:17">
      <c r="A392" t="s">
        <v>925</v>
      </c>
      <c r="B392" t="s">
        <v>926</v>
      </c>
      <c r="C392" s="1">
        <v>46130</v>
      </c>
      <c r="D392" t="s">
        <v>87</v>
      </c>
      <c r="E392" t="s">
        <v>20</v>
      </c>
      <c r="F392" t="s">
        <v>619</v>
      </c>
      <c r="G392" t="s">
        <v>22</v>
      </c>
      <c r="H392">
        <v>2</v>
      </c>
      <c r="I392">
        <v>9337.2199999999993</v>
      </c>
      <c r="J392">
        <v>0.15</v>
      </c>
      <c r="K392">
        <v>6050</v>
      </c>
      <c r="L392">
        <f>sales[[#This Row],[Quantity]]*sales[[#This Row],[UnitPrice]]</f>
        <v>18674.439999999999</v>
      </c>
      <c r="M392">
        <f>sales[[#This Row],[GrossSales]]*sales[[#This Row],[DiscountRate]]</f>
        <v>2801.1659999999997</v>
      </c>
      <c r="N392">
        <f>sales[[#This Row],[GrossSales]]-sales[[#This Row],[DiscountAmount]]</f>
        <v>15873.273999999999</v>
      </c>
      <c r="O392">
        <f>sales[[#This Row],[Quantity]]*sales[[#This Row],[UnitCostAtSale]]</f>
        <v>12100</v>
      </c>
      <c r="P392">
        <f>sales[[#This Row],[SalesAfterDiscount]]-sales[[#This Row],[CostOfGoodsSold]]</f>
        <v>3773.2739999999994</v>
      </c>
      <c r="Q392">
        <f>IFERROR(sales[[#This Row],[GrossProfit]]/sales[[#This Row],[SalesAfterDiscount]],0)</f>
        <v>0.23771239632101099</v>
      </c>
    </row>
    <row r="393" spans="1:17">
      <c r="A393" t="s">
        <v>927</v>
      </c>
      <c r="B393" t="s">
        <v>928</v>
      </c>
      <c r="C393" s="1">
        <v>46076</v>
      </c>
      <c r="D393" t="s">
        <v>126</v>
      </c>
      <c r="E393" t="s">
        <v>20</v>
      </c>
      <c r="F393" t="s">
        <v>21</v>
      </c>
      <c r="G393" t="s">
        <v>16</v>
      </c>
      <c r="H393">
        <v>4</v>
      </c>
      <c r="I393">
        <v>17523.439999999999</v>
      </c>
      <c r="J393">
        <v>0.05</v>
      </c>
      <c r="K393">
        <v>11850</v>
      </c>
      <c r="L393">
        <f>sales[[#This Row],[Quantity]]*sales[[#This Row],[UnitPrice]]</f>
        <v>70093.759999999995</v>
      </c>
      <c r="M393">
        <f>sales[[#This Row],[GrossSales]]*sales[[#This Row],[DiscountRate]]</f>
        <v>3504.6880000000001</v>
      </c>
      <c r="N393">
        <f>sales[[#This Row],[GrossSales]]-sales[[#This Row],[DiscountAmount]]</f>
        <v>66589.072</v>
      </c>
      <c r="O393">
        <f>sales[[#This Row],[Quantity]]*sales[[#This Row],[UnitCostAtSale]]</f>
        <v>47400</v>
      </c>
      <c r="P393">
        <f>sales[[#This Row],[SalesAfterDiscount]]-sales[[#This Row],[CostOfGoodsSold]]</f>
        <v>19189.072</v>
      </c>
      <c r="Q393">
        <f>IFERROR(sales[[#This Row],[GrossProfit]]/sales[[#This Row],[SalesAfterDiscount]],0)</f>
        <v>0.28817148855896357</v>
      </c>
    </row>
    <row r="394" spans="1:17">
      <c r="A394" t="s">
        <v>929</v>
      </c>
      <c r="B394" t="s">
        <v>930</v>
      </c>
      <c r="C394" s="1">
        <v>45815</v>
      </c>
      <c r="D394" t="s">
        <v>49</v>
      </c>
      <c r="E394" t="s">
        <v>14</v>
      </c>
      <c r="F394" t="s">
        <v>468</v>
      </c>
      <c r="G394" t="s">
        <v>16</v>
      </c>
      <c r="H394">
        <v>4</v>
      </c>
      <c r="I394">
        <v>13787.88</v>
      </c>
      <c r="J394">
        <v>0.15</v>
      </c>
      <c r="K394">
        <v>9500</v>
      </c>
      <c r="L394">
        <f>sales[[#This Row],[Quantity]]*sales[[#This Row],[UnitPrice]]</f>
        <v>55151.519999999997</v>
      </c>
      <c r="M394">
        <f>sales[[#This Row],[GrossSales]]*sales[[#This Row],[DiscountRate]]</f>
        <v>8272.7279999999992</v>
      </c>
      <c r="N394">
        <f>sales[[#This Row],[GrossSales]]-sales[[#This Row],[DiscountAmount]]</f>
        <v>46878.792000000001</v>
      </c>
      <c r="O394">
        <f>sales[[#This Row],[Quantity]]*sales[[#This Row],[UnitCostAtSale]]</f>
        <v>38000</v>
      </c>
      <c r="P394">
        <f>sales[[#This Row],[SalesAfterDiscount]]-sales[[#This Row],[CostOfGoodsSold]]</f>
        <v>8878.7920000000013</v>
      </c>
      <c r="Q394">
        <f>IFERROR(sales[[#This Row],[GrossProfit]]/sales[[#This Row],[SalesAfterDiscount]],0)</f>
        <v>0.18939890771929449</v>
      </c>
    </row>
    <row r="395" spans="1:17">
      <c r="A395" t="s">
        <v>931</v>
      </c>
      <c r="B395" t="s">
        <v>932</v>
      </c>
      <c r="C395" s="1">
        <v>46068</v>
      </c>
      <c r="D395" t="s">
        <v>41</v>
      </c>
      <c r="E395" t="s">
        <v>72</v>
      </c>
      <c r="F395" t="s">
        <v>134</v>
      </c>
      <c r="G395" t="s">
        <v>22</v>
      </c>
      <c r="H395">
        <v>5</v>
      </c>
      <c r="I395">
        <v>17279.419999999998</v>
      </c>
      <c r="J395">
        <v>0.2</v>
      </c>
      <c r="K395">
        <v>13950</v>
      </c>
      <c r="L395">
        <f>sales[[#This Row],[Quantity]]*sales[[#This Row],[UnitPrice]]</f>
        <v>86397.099999999991</v>
      </c>
      <c r="M395">
        <f>sales[[#This Row],[GrossSales]]*sales[[#This Row],[DiscountRate]]</f>
        <v>17279.419999999998</v>
      </c>
      <c r="N395">
        <f>sales[[#This Row],[GrossSales]]-sales[[#This Row],[DiscountAmount]]</f>
        <v>69117.679999999993</v>
      </c>
      <c r="O395">
        <f>sales[[#This Row],[Quantity]]*sales[[#This Row],[UnitCostAtSale]]</f>
        <v>69750</v>
      </c>
      <c r="P395">
        <f>sales[[#This Row],[SalesAfterDiscount]]-sales[[#This Row],[CostOfGoodsSold]]</f>
        <v>-632.32000000000698</v>
      </c>
      <c r="Q395">
        <f>IFERROR(sales[[#This Row],[GrossProfit]]/sales[[#This Row],[SalesAfterDiscount]],0)</f>
        <v>-9.1484552143533612E-3</v>
      </c>
    </row>
    <row r="396" spans="1:17">
      <c r="A396" t="s">
        <v>933</v>
      </c>
      <c r="B396" t="s">
        <v>934</v>
      </c>
      <c r="C396" s="1">
        <v>46026</v>
      </c>
      <c r="D396" t="s">
        <v>416</v>
      </c>
      <c r="E396" t="s">
        <v>14</v>
      </c>
      <c r="F396" t="s">
        <v>116</v>
      </c>
      <c r="G396" t="s">
        <v>22</v>
      </c>
      <c r="H396">
        <v>5</v>
      </c>
      <c r="I396">
        <v>3804.25</v>
      </c>
      <c r="J396">
        <v>0.2</v>
      </c>
      <c r="K396">
        <v>2800</v>
      </c>
      <c r="L396">
        <f>sales[[#This Row],[Quantity]]*sales[[#This Row],[UnitPrice]]</f>
        <v>19021.25</v>
      </c>
      <c r="M396">
        <f>sales[[#This Row],[GrossSales]]*sales[[#This Row],[DiscountRate]]</f>
        <v>3804.25</v>
      </c>
      <c r="N396">
        <f>sales[[#This Row],[GrossSales]]-sales[[#This Row],[DiscountAmount]]</f>
        <v>15217</v>
      </c>
      <c r="O396">
        <f>sales[[#This Row],[Quantity]]*sales[[#This Row],[UnitCostAtSale]]</f>
        <v>14000</v>
      </c>
      <c r="P396">
        <f>sales[[#This Row],[SalesAfterDiscount]]-sales[[#This Row],[CostOfGoodsSold]]</f>
        <v>1217</v>
      </c>
      <c r="Q396">
        <f>IFERROR(sales[[#This Row],[GrossProfit]]/sales[[#This Row],[SalesAfterDiscount]],0)</f>
        <v>7.997634224880068E-2</v>
      </c>
    </row>
    <row r="397" spans="1:17">
      <c r="A397" t="s">
        <v>935</v>
      </c>
      <c r="B397" t="s">
        <v>936</v>
      </c>
      <c r="C397" s="1">
        <v>46021</v>
      </c>
      <c r="D397" t="s">
        <v>49</v>
      </c>
      <c r="E397" t="s">
        <v>14</v>
      </c>
      <c r="F397" t="s">
        <v>759</v>
      </c>
      <c r="G397" t="s">
        <v>16</v>
      </c>
      <c r="H397">
        <v>2</v>
      </c>
      <c r="I397">
        <v>13787.88</v>
      </c>
      <c r="J397">
        <v>0.2</v>
      </c>
      <c r="K397">
        <v>9500</v>
      </c>
      <c r="L397">
        <f>sales[[#This Row],[Quantity]]*sales[[#This Row],[UnitPrice]]</f>
        <v>27575.759999999998</v>
      </c>
      <c r="M397">
        <f>sales[[#This Row],[GrossSales]]*sales[[#This Row],[DiscountRate]]</f>
        <v>5515.152</v>
      </c>
      <c r="N397">
        <f>sales[[#This Row],[GrossSales]]-sales[[#This Row],[DiscountAmount]]</f>
        <v>22060.608</v>
      </c>
      <c r="O397">
        <f>sales[[#This Row],[Quantity]]*sales[[#This Row],[UnitCostAtSale]]</f>
        <v>19000</v>
      </c>
      <c r="P397">
        <f>sales[[#This Row],[SalesAfterDiscount]]-sales[[#This Row],[CostOfGoodsSold]]</f>
        <v>3060.6080000000002</v>
      </c>
      <c r="Q397">
        <f>IFERROR(sales[[#This Row],[GrossProfit]]/sales[[#This Row],[SalesAfterDiscount]],0)</f>
        <v>0.13873633945175037</v>
      </c>
    </row>
    <row r="398" spans="1:17">
      <c r="A398" t="s">
        <v>937</v>
      </c>
      <c r="B398" t="s">
        <v>938</v>
      </c>
      <c r="C398" s="1">
        <v>45997</v>
      </c>
      <c r="D398" t="s">
        <v>202</v>
      </c>
      <c r="E398" t="s">
        <v>14</v>
      </c>
      <c r="F398" t="s">
        <v>54</v>
      </c>
      <c r="G398" t="s">
        <v>16</v>
      </c>
      <c r="H398">
        <v>4</v>
      </c>
      <c r="I398">
        <v>3559.5</v>
      </c>
      <c r="J398">
        <v>0</v>
      </c>
      <c r="K398">
        <v>2250</v>
      </c>
      <c r="L398">
        <f>sales[[#This Row],[Quantity]]*sales[[#This Row],[UnitPrice]]</f>
        <v>14238</v>
      </c>
      <c r="M398">
        <f>sales[[#This Row],[GrossSales]]*sales[[#This Row],[DiscountRate]]</f>
        <v>0</v>
      </c>
      <c r="N398">
        <f>sales[[#This Row],[GrossSales]]-sales[[#This Row],[DiscountAmount]]</f>
        <v>14238</v>
      </c>
      <c r="O398">
        <f>sales[[#This Row],[Quantity]]*sales[[#This Row],[UnitCostAtSale]]</f>
        <v>9000</v>
      </c>
      <c r="P398">
        <f>sales[[#This Row],[SalesAfterDiscount]]-sales[[#This Row],[CostOfGoodsSold]]</f>
        <v>5238</v>
      </c>
      <c r="Q398">
        <f>IFERROR(sales[[#This Row],[GrossProfit]]/sales[[#This Row],[SalesAfterDiscount]],0)</f>
        <v>0.36788874841972186</v>
      </c>
    </row>
    <row r="399" spans="1:17">
      <c r="A399" t="s">
        <v>939</v>
      </c>
      <c r="B399" t="s">
        <v>940</v>
      </c>
      <c r="C399" s="1">
        <v>46180</v>
      </c>
      <c r="D399" t="s">
        <v>25</v>
      </c>
      <c r="E399" t="s">
        <v>46</v>
      </c>
      <c r="F399" t="s">
        <v>619</v>
      </c>
      <c r="G399" t="s">
        <v>22</v>
      </c>
      <c r="H399">
        <v>5</v>
      </c>
      <c r="I399">
        <v>18592.419999999998</v>
      </c>
      <c r="J399">
        <v>0.2</v>
      </c>
      <c r="K399">
        <v>14600</v>
      </c>
      <c r="L399">
        <f>sales[[#This Row],[Quantity]]*sales[[#This Row],[UnitPrice]]</f>
        <v>92962.099999999991</v>
      </c>
      <c r="M399">
        <f>sales[[#This Row],[GrossSales]]*sales[[#This Row],[DiscountRate]]</f>
        <v>18592.419999999998</v>
      </c>
      <c r="N399">
        <f>sales[[#This Row],[GrossSales]]-sales[[#This Row],[DiscountAmount]]</f>
        <v>74369.679999999993</v>
      </c>
      <c r="O399">
        <f>sales[[#This Row],[Quantity]]*sales[[#This Row],[UnitCostAtSale]]</f>
        <v>73000</v>
      </c>
      <c r="P399">
        <f>sales[[#This Row],[SalesAfterDiscount]]-sales[[#This Row],[CostOfGoodsSold]]</f>
        <v>1369.679999999993</v>
      </c>
      <c r="Q399">
        <f>IFERROR(sales[[#This Row],[GrossProfit]]/sales[[#This Row],[SalesAfterDiscount]],0)</f>
        <v>1.8417182916478776E-2</v>
      </c>
    </row>
    <row r="400" spans="1:17">
      <c r="A400" t="s">
        <v>941</v>
      </c>
      <c r="B400" t="s">
        <v>942</v>
      </c>
      <c r="C400" s="1">
        <v>46041</v>
      </c>
      <c r="D400" t="s">
        <v>112</v>
      </c>
      <c r="E400" t="s">
        <v>46</v>
      </c>
      <c r="F400" t="s">
        <v>619</v>
      </c>
      <c r="G400" t="s">
        <v>22</v>
      </c>
      <c r="H400">
        <v>4</v>
      </c>
      <c r="I400">
        <v>10868.14</v>
      </c>
      <c r="J400">
        <v>0.15</v>
      </c>
      <c r="K400">
        <v>8850</v>
      </c>
      <c r="L400">
        <f>sales[[#This Row],[Quantity]]*sales[[#This Row],[UnitPrice]]</f>
        <v>43472.56</v>
      </c>
      <c r="M400">
        <f>sales[[#This Row],[GrossSales]]*sales[[#This Row],[DiscountRate]]</f>
        <v>6520.8839999999991</v>
      </c>
      <c r="N400">
        <f>sales[[#This Row],[GrossSales]]-sales[[#This Row],[DiscountAmount]]</f>
        <v>36951.675999999999</v>
      </c>
      <c r="O400">
        <f>sales[[#This Row],[Quantity]]*sales[[#This Row],[UnitCostAtSale]]</f>
        <v>35400</v>
      </c>
      <c r="P400">
        <f>sales[[#This Row],[SalesAfterDiscount]]-sales[[#This Row],[CostOfGoodsSold]]</f>
        <v>1551.6759999999995</v>
      </c>
      <c r="Q400">
        <f>IFERROR(sales[[#This Row],[GrossProfit]]/sales[[#This Row],[SalesAfterDiscount]],0)</f>
        <v>4.1992033054197582E-2</v>
      </c>
    </row>
    <row r="401" spans="1:17">
      <c r="A401" t="s">
        <v>943</v>
      </c>
      <c r="B401" t="s">
        <v>944</v>
      </c>
      <c r="C401" s="1">
        <v>45683</v>
      </c>
      <c r="D401" t="s">
        <v>13</v>
      </c>
      <c r="E401" t="s">
        <v>20</v>
      </c>
      <c r="F401" t="s">
        <v>176</v>
      </c>
      <c r="G401" t="s">
        <v>22</v>
      </c>
      <c r="H401">
        <v>4</v>
      </c>
      <c r="I401">
        <v>6484.94</v>
      </c>
      <c r="J401">
        <v>0</v>
      </c>
      <c r="K401">
        <v>4300</v>
      </c>
      <c r="L401">
        <f>sales[[#This Row],[Quantity]]*sales[[#This Row],[UnitPrice]]</f>
        <v>25939.759999999998</v>
      </c>
      <c r="M401">
        <f>sales[[#This Row],[GrossSales]]*sales[[#This Row],[DiscountRate]]</f>
        <v>0</v>
      </c>
      <c r="N401">
        <f>sales[[#This Row],[GrossSales]]-sales[[#This Row],[DiscountAmount]]</f>
        <v>25939.759999999998</v>
      </c>
      <c r="O401">
        <f>sales[[#This Row],[Quantity]]*sales[[#This Row],[UnitCostAtSale]]</f>
        <v>17200</v>
      </c>
      <c r="P401">
        <f>sales[[#This Row],[SalesAfterDiscount]]-sales[[#This Row],[CostOfGoodsSold]]</f>
        <v>8739.7599999999984</v>
      </c>
      <c r="Q401">
        <f>IFERROR(sales[[#This Row],[GrossProfit]]/sales[[#This Row],[SalesAfterDiscount]],0)</f>
        <v>0.3369252452605575</v>
      </c>
    </row>
    <row r="402" spans="1:17">
      <c r="A402" t="s">
        <v>945</v>
      </c>
      <c r="B402" t="s">
        <v>946</v>
      </c>
      <c r="C402" s="1">
        <v>45803</v>
      </c>
      <c r="D402" t="s">
        <v>37</v>
      </c>
      <c r="E402" t="s">
        <v>20</v>
      </c>
      <c r="F402" t="s">
        <v>152</v>
      </c>
      <c r="G402" t="s">
        <v>22</v>
      </c>
      <c r="H402">
        <v>3</v>
      </c>
      <c r="I402">
        <v>17336.23</v>
      </c>
      <c r="J402">
        <v>0.1</v>
      </c>
      <c r="K402">
        <v>14200</v>
      </c>
      <c r="L402">
        <f>sales[[#This Row],[Quantity]]*sales[[#This Row],[UnitPrice]]</f>
        <v>52008.69</v>
      </c>
      <c r="M402">
        <f>sales[[#This Row],[GrossSales]]*sales[[#This Row],[DiscountRate]]</f>
        <v>5200.8690000000006</v>
      </c>
      <c r="N402">
        <f>sales[[#This Row],[GrossSales]]-sales[[#This Row],[DiscountAmount]]</f>
        <v>46807.821000000004</v>
      </c>
      <c r="O402">
        <f>sales[[#This Row],[Quantity]]*sales[[#This Row],[UnitCostAtSale]]</f>
        <v>42600</v>
      </c>
      <c r="P402">
        <f>sales[[#This Row],[SalesAfterDiscount]]-sales[[#This Row],[CostOfGoodsSold]]</f>
        <v>4207.8210000000036</v>
      </c>
      <c r="Q402">
        <f>IFERROR(sales[[#This Row],[GrossProfit]]/sales[[#This Row],[SalesAfterDiscount]],0)</f>
        <v>8.9895682176702976E-2</v>
      </c>
    </row>
    <row r="403" spans="1:17">
      <c r="A403" t="s">
        <v>947</v>
      </c>
      <c r="B403" t="s">
        <v>948</v>
      </c>
      <c r="C403" s="1">
        <v>46152</v>
      </c>
      <c r="D403" t="s">
        <v>122</v>
      </c>
      <c r="E403" t="s">
        <v>14</v>
      </c>
      <c r="F403" t="s">
        <v>34</v>
      </c>
      <c r="G403" t="s">
        <v>16</v>
      </c>
      <c r="H403">
        <v>3</v>
      </c>
      <c r="I403">
        <v>13246.95</v>
      </c>
      <c r="J403">
        <v>0.15</v>
      </c>
      <c r="K403">
        <v>9050</v>
      </c>
      <c r="L403">
        <f>sales[[#This Row],[Quantity]]*sales[[#This Row],[UnitPrice]]</f>
        <v>39740.850000000006</v>
      </c>
      <c r="M403">
        <f>sales[[#This Row],[GrossSales]]*sales[[#This Row],[DiscountRate]]</f>
        <v>5961.1275000000005</v>
      </c>
      <c r="N403">
        <f>sales[[#This Row],[GrossSales]]-sales[[#This Row],[DiscountAmount]]</f>
        <v>33779.722500000003</v>
      </c>
      <c r="O403">
        <f>sales[[#This Row],[Quantity]]*sales[[#This Row],[UnitCostAtSale]]</f>
        <v>27150</v>
      </c>
      <c r="P403">
        <f>sales[[#This Row],[SalesAfterDiscount]]-sales[[#This Row],[CostOfGoodsSold]]</f>
        <v>6629.7225000000035</v>
      </c>
      <c r="Q403">
        <f>IFERROR(sales[[#This Row],[GrossProfit]]/sales[[#This Row],[SalesAfterDiscount]],0)</f>
        <v>0.19626337960591603</v>
      </c>
    </row>
    <row r="404" spans="1:17">
      <c r="A404" t="s">
        <v>949</v>
      </c>
      <c r="B404" t="s">
        <v>950</v>
      </c>
      <c r="C404" s="1">
        <v>45726</v>
      </c>
      <c r="D404" t="s">
        <v>286</v>
      </c>
      <c r="E404" t="s">
        <v>14</v>
      </c>
      <c r="F404" t="s">
        <v>38</v>
      </c>
      <c r="G404" t="s">
        <v>16</v>
      </c>
      <c r="H404">
        <v>3</v>
      </c>
      <c r="I404">
        <v>614.66</v>
      </c>
      <c r="J404">
        <v>0</v>
      </c>
      <c r="K404">
        <v>400</v>
      </c>
      <c r="L404">
        <f>sales[[#This Row],[Quantity]]*sales[[#This Row],[UnitPrice]]</f>
        <v>1843.98</v>
      </c>
      <c r="M404">
        <f>sales[[#This Row],[GrossSales]]*sales[[#This Row],[DiscountRate]]</f>
        <v>0</v>
      </c>
      <c r="N404">
        <f>sales[[#This Row],[GrossSales]]-sales[[#This Row],[DiscountAmount]]</f>
        <v>1843.98</v>
      </c>
      <c r="O404">
        <f>sales[[#This Row],[Quantity]]*sales[[#This Row],[UnitCostAtSale]]</f>
        <v>1200</v>
      </c>
      <c r="P404">
        <f>sales[[#This Row],[SalesAfterDiscount]]-sales[[#This Row],[CostOfGoodsSold]]</f>
        <v>643.98</v>
      </c>
      <c r="Q404">
        <f>IFERROR(sales[[#This Row],[GrossProfit]]/sales[[#This Row],[SalesAfterDiscount]],0)</f>
        <v>0.34923372270848924</v>
      </c>
    </row>
    <row r="405" spans="1:17">
      <c r="A405" t="s">
        <v>951</v>
      </c>
      <c r="B405" t="s">
        <v>952</v>
      </c>
      <c r="C405" s="1">
        <v>45769</v>
      </c>
      <c r="D405" t="s">
        <v>130</v>
      </c>
      <c r="E405" t="s">
        <v>46</v>
      </c>
      <c r="F405" t="s">
        <v>196</v>
      </c>
      <c r="G405" t="s">
        <v>22</v>
      </c>
      <c r="H405">
        <v>2</v>
      </c>
      <c r="I405">
        <v>12166.11</v>
      </c>
      <c r="J405">
        <v>0.05</v>
      </c>
      <c r="K405">
        <v>7750</v>
      </c>
      <c r="L405">
        <f>sales[[#This Row],[Quantity]]*sales[[#This Row],[UnitPrice]]</f>
        <v>24332.22</v>
      </c>
      <c r="M405">
        <f>sales[[#This Row],[GrossSales]]*sales[[#This Row],[DiscountRate]]</f>
        <v>1216.6110000000001</v>
      </c>
      <c r="N405">
        <f>sales[[#This Row],[GrossSales]]-sales[[#This Row],[DiscountAmount]]</f>
        <v>23115.609</v>
      </c>
      <c r="O405">
        <f>sales[[#This Row],[Quantity]]*sales[[#This Row],[UnitCostAtSale]]</f>
        <v>15500</v>
      </c>
      <c r="P405">
        <f>sales[[#This Row],[SalesAfterDiscount]]-sales[[#This Row],[CostOfGoodsSold]]</f>
        <v>7615.6090000000004</v>
      </c>
      <c r="Q405">
        <f>IFERROR(sales[[#This Row],[GrossProfit]]/sales[[#This Row],[SalesAfterDiscount]],0)</f>
        <v>0.32945742420197538</v>
      </c>
    </row>
    <row r="406" spans="1:17">
      <c r="A406" t="s">
        <v>953</v>
      </c>
      <c r="B406" t="s">
        <v>954</v>
      </c>
      <c r="C406" s="1">
        <v>46094</v>
      </c>
      <c r="D406" t="s">
        <v>286</v>
      </c>
      <c r="E406" t="s">
        <v>72</v>
      </c>
      <c r="F406" t="s">
        <v>677</v>
      </c>
      <c r="G406" t="s">
        <v>22</v>
      </c>
      <c r="H406">
        <v>4</v>
      </c>
      <c r="I406">
        <v>614.66</v>
      </c>
      <c r="J406">
        <v>0.05</v>
      </c>
      <c r="K406">
        <v>400</v>
      </c>
      <c r="L406">
        <f>sales[[#This Row],[Quantity]]*sales[[#This Row],[UnitPrice]]</f>
        <v>2458.64</v>
      </c>
      <c r="M406">
        <f>sales[[#This Row],[GrossSales]]*sales[[#This Row],[DiscountRate]]</f>
        <v>122.932</v>
      </c>
      <c r="N406">
        <f>sales[[#This Row],[GrossSales]]-sales[[#This Row],[DiscountAmount]]</f>
        <v>2335.7080000000001</v>
      </c>
      <c r="O406">
        <f>sales[[#This Row],[Quantity]]*sales[[#This Row],[UnitCostAtSale]]</f>
        <v>1600</v>
      </c>
      <c r="P406">
        <f>sales[[#This Row],[SalesAfterDiscount]]-sales[[#This Row],[CostOfGoodsSold]]</f>
        <v>735.70800000000008</v>
      </c>
      <c r="Q406">
        <f>IFERROR(sales[[#This Row],[GrossProfit]]/sales[[#This Row],[SalesAfterDiscount]],0)</f>
        <v>0.31498286600893605</v>
      </c>
    </row>
    <row r="407" spans="1:17">
      <c r="A407" t="s">
        <v>955</v>
      </c>
      <c r="B407" t="s">
        <v>956</v>
      </c>
      <c r="C407" s="1">
        <v>46100</v>
      </c>
      <c r="D407" t="s">
        <v>313</v>
      </c>
      <c r="E407" t="s">
        <v>46</v>
      </c>
      <c r="F407" t="s">
        <v>241</v>
      </c>
      <c r="G407" t="s">
        <v>16</v>
      </c>
      <c r="H407">
        <v>4</v>
      </c>
      <c r="I407">
        <v>3335.18</v>
      </c>
      <c r="J407">
        <v>0</v>
      </c>
      <c r="K407">
        <v>2600</v>
      </c>
      <c r="L407">
        <f>sales[[#This Row],[Quantity]]*sales[[#This Row],[UnitPrice]]</f>
        <v>13340.72</v>
      </c>
      <c r="M407">
        <f>sales[[#This Row],[GrossSales]]*sales[[#This Row],[DiscountRate]]</f>
        <v>0</v>
      </c>
      <c r="N407">
        <f>sales[[#This Row],[GrossSales]]-sales[[#This Row],[DiscountAmount]]</f>
        <v>13340.72</v>
      </c>
      <c r="O407">
        <f>sales[[#This Row],[Quantity]]*sales[[#This Row],[UnitCostAtSale]]</f>
        <v>10400</v>
      </c>
      <c r="P407">
        <f>sales[[#This Row],[SalesAfterDiscount]]-sales[[#This Row],[CostOfGoodsSold]]</f>
        <v>2940.7199999999993</v>
      </c>
      <c r="Q407">
        <f>IFERROR(sales[[#This Row],[GrossProfit]]/sales[[#This Row],[SalesAfterDiscount]],0)</f>
        <v>0.22043188073807107</v>
      </c>
    </row>
    <row r="408" spans="1:17">
      <c r="A408" t="s">
        <v>957</v>
      </c>
      <c r="B408" t="s">
        <v>958</v>
      </c>
      <c r="C408" s="1">
        <v>46097</v>
      </c>
      <c r="D408" t="s">
        <v>41</v>
      </c>
      <c r="E408" t="s">
        <v>50</v>
      </c>
      <c r="F408" t="s">
        <v>119</v>
      </c>
      <c r="G408" t="s">
        <v>16</v>
      </c>
      <c r="H408">
        <v>4</v>
      </c>
      <c r="I408">
        <v>17279.419999999998</v>
      </c>
      <c r="J408">
        <v>0</v>
      </c>
      <c r="K408">
        <v>13950</v>
      </c>
      <c r="L408">
        <f>sales[[#This Row],[Quantity]]*sales[[#This Row],[UnitPrice]]</f>
        <v>69117.679999999993</v>
      </c>
      <c r="M408">
        <f>sales[[#This Row],[GrossSales]]*sales[[#This Row],[DiscountRate]]</f>
        <v>0</v>
      </c>
      <c r="N408">
        <f>sales[[#This Row],[GrossSales]]-sales[[#This Row],[DiscountAmount]]</f>
        <v>69117.679999999993</v>
      </c>
      <c r="O408">
        <f>sales[[#This Row],[Quantity]]*sales[[#This Row],[UnitCostAtSale]]</f>
        <v>55800</v>
      </c>
      <c r="P408">
        <f>sales[[#This Row],[SalesAfterDiscount]]-sales[[#This Row],[CostOfGoodsSold]]</f>
        <v>13317.679999999993</v>
      </c>
      <c r="Q408">
        <f>IFERROR(sales[[#This Row],[GrossProfit]]/sales[[#This Row],[SalesAfterDiscount]],0)</f>
        <v>0.19268123582851732</v>
      </c>
    </row>
    <row r="409" spans="1:17">
      <c r="A409" t="s">
        <v>959</v>
      </c>
      <c r="B409" t="s">
        <v>960</v>
      </c>
      <c r="C409" s="1">
        <v>45722</v>
      </c>
      <c r="D409" t="s">
        <v>202</v>
      </c>
      <c r="E409" t="s">
        <v>46</v>
      </c>
      <c r="F409" t="s">
        <v>558</v>
      </c>
      <c r="G409" t="s">
        <v>16</v>
      </c>
      <c r="H409">
        <v>5</v>
      </c>
      <c r="I409">
        <v>3559.5</v>
      </c>
      <c r="J409">
        <v>0</v>
      </c>
      <c r="K409">
        <v>2250</v>
      </c>
      <c r="L409">
        <f>sales[[#This Row],[Quantity]]*sales[[#This Row],[UnitPrice]]</f>
        <v>17797.5</v>
      </c>
      <c r="M409">
        <f>sales[[#This Row],[GrossSales]]*sales[[#This Row],[DiscountRate]]</f>
        <v>0</v>
      </c>
      <c r="N409">
        <f>sales[[#This Row],[GrossSales]]-sales[[#This Row],[DiscountAmount]]</f>
        <v>17797.5</v>
      </c>
      <c r="O409">
        <f>sales[[#This Row],[Quantity]]*sales[[#This Row],[UnitCostAtSale]]</f>
        <v>11250</v>
      </c>
      <c r="P409">
        <f>sales[[#This Row],[SalesAfterDiscount]]-sales[[#This Row],[CostOfGoodsSold]]</f>
        <v>6547.5</v>
      </c>
      <c r="Q409">
        <f>IFERROR(sales[[#This Row],[GrossProfit]]/sales[[#This Row],[SalesAfterDiscount]],0)</f>
        <v>0.36788874841972186</v>
      </c>
    </row>
    <row r="410" spans="1:17">
      <c r="A410" t="s">
        <v>961</v>
      </c>
      <c r="B410" t="s">
        <v>962</v>
      </c>
      <c r="C410" s="1">
        <v>45859</v>
      </c>
      <c r="D410" t="s">
        <v>286</v>
      </c>
      <c r="E410" t="s">
        <v>20</v>
      </c>
      <c r="F410" t="s">
        <v>113</v>
      </c>
      <c r="G410" t="s">
        <v>16</v>
      </c>
      <c r="H410">
        <v>4</v>
      </c>
      <c r="I410">
        <v>614.66</v>
      </c>
      <c r="J410">
        <v>0</v>
      </c>
      <c r="K410">
        <v>400</v>
      </c>
      <c r="L410">
        <f>sales[[#This Row],[Quantity]]*sales[[#This Row],[UnitPrice]]</f>
        <v>2458.64</v>
      </c>
      <c r="M410">
        <f>sales[[#This Row],[GrossSales]]*sales[[#This Row],[DiscountRate]]</f>
        <v>0</v>
      </c>
      <c r="N410">
        <f>sales[[#This Row],[GrossSales]]-sales[[#This Row],[DiscountAmount]]</f>
        <v>2458.64</v>
      </c>
      <c r="O410">
        <f>sales[[#This Row],[Quantity]]*sales[[#This Row],[UnitCostAtSale]]</f>
        <v>1600</v>
      </c>
      <c r="P410">
        <f>sales[[#This Row],[SalesAfterDiscount]]-sales[[#This Row],[CostOfGoodsSold]]</f>
        <v>858.63999999999987</v>
      </c>
      <c r="Q410">
        <f>IFERROR(sales[[#This Row],[GrossProfit]]/sales[[#This Row],[SalesAfterDiscount]],0)</f>
        <v>0.34923372270848924</v>
      </c>
    </row>
    <row r="411" spans="1:17">
      <c r="A411" t="s">
        <v>963</v>
      </c>
      <c r="B411" t="s">
        <v>964</v>
      </c>
      <c r="C411" s="1">
        <v>45978</v>
      </c>
      <c r="D411" t="s">
        <v>122</v>
      </c>
      <c r="E411" t="s">
        <v>46</v>
      </c>
      <c r="F411" t="s">
        <v>419</v>
      </c>
      <c r="G411" t="s">
        <v>22</v>
      </c>
      <c r="H411">
        <v>5</v>
      </c>
      <c r="I411">
        <v>13246.95</v>
      </c>
      <c r="J411">
        <v>0.15</v>
      </c>
      <c r="K411">
        <v>9050</v>
      </c>
      <c r="L411">
        <f>sales[[#This Row],[Quantity]]*sales[[#This Row],[UnitPrice]]</f>
        <v>66234.75</v>
      </c>
      <c r="M411">
        <f>sales[[#This Row],[GrossSales]]*sales[[#This Row],[DiscountRate]]</f>
        <v>9935.2124999999996</v>
      </c>
      <c r="N411">
        <f>sales[[#This Row],[GrossSales]]-sales[[#This Row],[DiscountAmount]]</f>
        <v>56299.537499999999</v>
      </c>
      <c r="O411">
        <f>sales[[#This Row],[Quantity]]*sales[[#This Row],[UnitCostAtSale]]</f>
        <v>45250</v>
      </c>
      <c r="P411">
        <f>sales[[#This Row],[SalesAfterDiscount]]-sales[[#This Row],[CostOfGoodsSold]]</f>
        <v>11049.537499999999</v>
      </c>
      <c r="Q411">
        <f>IFERROR(sales[[#This Row],[GrossProfit]]/sales[[#This Row],[SalesAfterDiscount]],0)</f>
        <v>0.19626337960591592</v>
      </c>
    </row>
    <row r="412" spans="1:17">
      <c r="A412" t="s">
        <v>965</v>
      </c>
      <c r="B412" t="s">
        <v>966</v>
      </c>
      <c r="C412" s="1">
        <v>46018</v>
      </c>
      <c r="D412" t="s">
        <v>13</v>
      </c>
      <c r="E412" t="s">
        <v>50</v>
      </c>
      <c r="F412" t="s">
        <v>57</v>
      </c>
      <c r="G412" t="s">
        <v>16</v>
      </c>
      <c r="H412">
        <v>4</v>
      </c>
      <c r="I412">
        <v>6484.94</v>
      </c>
      <c r="J412">
        <v>0.2</v>
      </c>
      <c r="K412">
        <v>4300</v>
      </c>
      <c r="L412">
        <f>sales[[#This Row],[Quantity]]*sales[[#This Row],[UnitPrice]]</f>
        <v>25939.759999999998</v>
      </c>
      <c r="M412">
        <f>sales[[#This Row],[GrossSales]]*sales[[#This Row],[DiscountRate]]</f>
        <v>5187.9520000000002</v>
      </c>
      <c r="N412">
        <f>sales[[#This Row],[GrossSales]]-sales[[#This Row],[DiscountAmount]]</f>
        <v>20751.807999999997</v>
      </c>
      <c r="O412">
        <f>sales[[#This Row],[Quantity]]*sales[[#This Row],[UnitCostAtSale]]</f>
        <v>17200</v>
      </c>
      <c r="P412">
        <f>sales[[#This Row],[SalesAfterDiscount]]-sales[[#This Row],[CostOfGoodsSold]]</f>
        <v>3551.8079999999973</v>
      </c>
      <c r="Q412">
        <f>IFERROR(sales[[#This Row],[GrossProfit]]/sales[[#This Row],[SalesAfterDiscount]],0)</f>
        <v>0.17115655657569681</v>
      </c>
    </row>
    <row r="413" spans="1:17">
      <c r="A413" t="s">
        <v>967</v>
      </c>
      <c r="B413" t="s">
        <v>968</v>
      </c>
      <c r="C413" s="1">
        <v>45744</v>
      </c>
      <c r="D413" t="s">
        <v>99</v>
      </c>
      <c r="E413" t="s">
        <v>14</v>
      </c>
      <c r="F413" t="s">
        <v>21</v>
      </c>
      <c r="G413" t="s">
        <v>16</v>
      </c>
      <c r="H413">
        <v>2</v>
      </c>
      <c r="I413">
        <v>10644.48</v>
      </c>
      <c r="J413">
        <v>0.1</v>
      </c>
      <c r="K413">
        <v>7050</v>
      </c>
      <c r="L413">
        <f>sales[[#This Row],[Quantity]]*sales[[#This Row],[UnitPrice]]</f>
        <v>21288.959999999999</v>
      </c>
      <c r="M413">
        <f>sales[[#This Row],[GrossSales]]*sales[[#This Row],[DiscountRate]]</f>
        <v>2128.8960000000002</v>
      </c>
      <c r="N413">
        <f>sales[[#This Row],[GrossSales]]-sales[[#This Row],[DiscountAmount]]</f>
        <v>19160.063999999998</v>
      </c>
      <c r="O413">
        <f>sales[[#This Row],[Quantity]]*sales[[#This Row],[UnitCostAtSale]]</f>
        <v>14100</v>
      </c>
      <c r="P413">
        <f>sales[[#This Row],[SalesAfterDiscount]]-sales[[#This Row],[CostOfGoodsSold]]</f>
        <v>5060.0639999999985</v>
      </c>
      <c r="Q413">
        <f>IFERROR(sales[[#This Row],[GrossProfit]]/sales[[#This Row],[SalesAfterDiscount]],0)</f>
        <v>0.26409431617764945</v>
      </c>
    </row>
    <row r="414" spans="1:17">
      <c r="A414" t="s">
        <v>969</v>
      </c>
      <c r="B414" t="s">
        <v>970</v>
      </c>
      <c r="C414" s="1">
        <v>45845</v>
      </c>
      <c r="D414" t="s">
        <v>37</v>
      </c>
      <c r="E414" t="s">
        <v>46</v>
      </c>
      <c r="F414" t="s">
        <v>226</v>
      </c>
      <c r="G414" t="s">
        <v>16</v>
      </c>
      <c r="H414">
        <v>3</v>
      </c>
      <c r="I414">
        <v>17336.23</v>
      </c>
      <c r="J414">
        <v>0.05</v>
      </c>
      <c r="K414">
        <v>14200</v>
      </c>
      <c r="L414">
        <f>sales[[#This Row],[Quantity]]*sales[[#This Row],[UnitPrice]]</f>
        <v>52008.69</v>
      </c>
      <c r="M414">
        <f>sales[[#This Row],[GrossSales]]*sales[[#This Row],[DiscountRate]]</f>
        <v>2600.4345000000003</v>
      </c>
      <c r="N414">
        <f>sales[[#This Row],[GrossSales]]-sales[[#This Row],[DiscountAmount]]</f>
        <v>49408.255499999999</v>
      </c>
      <c r="O414">
        <f>sales[[#This Row],[Quantity]]*sales[[#This Row],[UnitCostAtSale]]</f>
        <v>42600</v>
      </c>
      <c r="P414">
        <f>sales[[#This Row],[SalesAfterDiscount]]-sales[[#This Row],[CostOfGoodsSold]]</f>
        <v>6808.2554999999993</v>
      </c>
      <c r="Q414">
        <f>IFERROR(sales[[#This Row],[GrossProfit]]/sales[[#This Row],[SalesAfterDiscount]],0)</f>
        <v>0.13779590943056064</v>
      </c>
    </row>
    <row r="415" spans="1:17">
      <c r="A415" t="s">
        <v>971</v>
      </c>
      <c r="B415" t="s">
        <v>972</v>
      </c>
      <c r="C415" s="1">
        <v>45799</v>
      </c>
      <c r="D415" t="s">
        <v>95</v>
      </c>
      <c r="E415" t="s">
        <v>72</v>
      </c>
      <c r="F415" t="s">
        <v>558</v>
      </c>
      <c r="G415" t="s">
        <v>16</v>
      </c>
      <c r="H415">
        <v>5</v>
      </c>
      <c r="I415">
        <v>12048.66</v>
      </c>
      <c r="J415">
        <v>0.15</v>
      </c>
      <c r="K415">
        <v>9900</v>
      </c>
      <c r="L415">
        <f>sales[[#This Row],[Quantity]]*sales[[#This Row],[UnitPrice]]</f>
        <v>60243.3</v>
      </c>
      <c r="M415">
        <f>sales[[#This Row],[GrossSales]]*sales[[#This Row],[DiscountRate]]</f>
        <v>9036.4950000000008</v>
      </c>
      <c r="N415">
        <f>sales[[#This Row],[GrossSales]]-sales[[#This Row],[DiscountAmount]]</f>
        <v>51206.805</v>
      </c>
      <c r="O415">
        <f>sales[[#This Row],[Quantity]]*sales[[#This Row],[UnitCostAtSale]]</f>
        <v>49500</v>
      </c>
      <c r="P415">
        <f>sales[[#This Row],[SalesAfterDiscount]]-sales[[#This Row],[CostOfGoodsSold]]</f>
        <v>1706.8050000000003</v>
      </c>
      <c r="Q415">
        <f>IFERROR(sales[[#This Row],[GrossProfit]]/sales[[#This Row],[SalesAfterDiscount]],0)</f>
        <v>3.3331605047415093E-2</v>
      </c>
    </row>
    <row r="416" spans="1:17">
      <c r="A416" t="s">
        <v>973</v>
      </c>
      <c r="B416" t="s">
        <v>974</v>
      </c>
      <c r="C416" s="1">
        <v>45835</v>
      </c>
      <c r="D416" t="s">
        <v>130</v>
      </c>
      <c r="E416" t="s">
        <v>72</v>
      </c>
      <c r="F416" t="s">
        <v>109</v>
      </c>
      <c r="G416" t="s">
        <v>22</v>
      </c>
      <c r="H416">
        <v>5</v>
      </c>
      <c r="I416">
        <v>12166.11</v>
      </c>
      <c r="J416">
        <v>0.05</v>
      </c>
      <c r="K416">
        <v>7750</v>
      </c>
      <c r="L416">
        <f>sales[[#This Row],[Quantity]]*sales[[#This Row],[UnitPrice]]</f>
        <v>60830.55</v>
      </c>
      <c r="M416">
        <f>sales[[#This Row],[GrossSales]]*sales[[#This Row],[DiscountRate]]</f>
        <v>3041.5275000000001</v>
      </c>
      <c r="N416">
        <f>sales[[#This Row],[GrossSales]]-sales[[#This Row],[DiscountAmount]]</f>
        <v>57789.022500000006</v>
      </c>
      <c r="O416">
        <f>sales[[#This Row],[Quantity]]*sales[[#This Row],[UnitCostAtSale]]</f>
        <v>38750</v>
      </c>
      <c r="P416">
        <f>sales[[#This Row],[SalesAfterDiscount]]-sales[[#This Row],[CostOfGoodsSold]]</f>
        <v>19039.022500000006</v>
      </c>
      <c r="Q416">
        <f>IFERROR(sales[[#This Row],[GrossProfit]]/sales[[#This Row],[SalesAfterDiscount]],0)</f>
        <v>0.32945742420197544</v>
      </c>
    </row>
    <row r="417" spans="1:17">
      <c r="A417" t="s">
        <v>975</v>
      </c>
      <c r="B417" t="s">
        <v>976</v>
      </c>
      <c r="C417" s="1">
        <v>45980</v>
      </c>
      <c r="D417" t="s">
        <v>313</v>
      </c>
      <c r="E417" t="s">
        <v>14</v>
      </c>
      <c r="F417" t="s">
        <v>281</v>
      </c>
      <c r="G417" t="s">
        <v>22</v>
      </c>
      <c r="H417">
        <v>4</v>
      </c>
      <c r="I417">
        <v>3335.18</v>
      </c>
      <c r="J417">
        <v>0.2</v>
      </c>
      <c r="K417">
        <v>2600</v>
      </c>
      <c r="L417">
        <f>sales[[#This Row],[Quantity]]*sales[[#This Row],[UnitPrice]]</f>
        <v>13340.72</v>
      </c>
      <c r="M417">
        <f>sales[[#This Row],[GrossSales]]*sales[[#This Row],[DiscountRate]]</f>
        <v>2668.1440000000002</v>
      </c>
      <c r="N417">
        <f>sales[[#This Row],[GrossSales]]-sales[[#This Row],[DiscountAmount]]</f>
        <v>10672.575999999999</v>
      </c>
      <c r="O417">
        <f>sales[[#This Row],[Quantity]]*sales[[#This Row],[UnitCostAtSale]]</f>
        <v>10400</v>
      </c>
      <c r="P417">
        <f>sales[[#This Row],[SalesAfterDiscount]]-sales[[#This Row],[CostOfGoodsSold]]</f>
        <v>272.57599999999911</v>
      </c>
      <c r="Q417">
        <f>IFERROR(sales[[#This Row],[GrossProfit]]/sales[[#This Row],[SalesAfterDiscount]],0)</f>
        <v>2.5539850922588803E-2</v>
      </c>
    </row>
    <row r="418" spans="1:17">
      <c r="A418" t="s">
        <v>977</v>
      </c>
      <c r="B418" t="s">
        <v>978</v>
      </c>
      <c r="C418" s="1">
        <v>45797</v>
      </c>
      <c r="D418" t="s">
        <v>19</v>
      </c>
      <c r="E418" t="s">
        <v>46</v>
      </c>
      <c r="F418" t="s">
        <v>106</v>
      </c>
      <c r="G418" t="s">
        <v>16</v>
      </c>
      <c r="H418">
        <v>2</v>
      </c>
      <c r="I418">
        <v>12193.29</v>
      </c>
      <c r="J418">
        <v>0.15</v>
      </c>
      <c r="K418">
        <v>9950</v>
      </c>
      <c r="L418">
        <f>sales[[#This Row],[Quantity]]*sales[[#This Row],[UnitPrice]]</f>
        <v>24386.58</v>
      </c>
      <c r="M418">
        <f>sales[[#This Row],[GrossSales]]*sales[[#This Row],[DiscountRate]]</f>
        <v>3657.9870000000001</v>
      </c>
      <c r="N418">
        <f>sales[[#This Row],[GrossSales]]-sales[[#This Row],[DiscountAmount]]</f>
        <v>20728.593000000001</v>
      </c>
      <c r="O418">
        <f>sales[[#This Row],[Quantity]]*sales[[#This Row],[UnitCostAtSale]]</f>
        <v>19900</v>
      </c>
      <c r="P418">
        <f>sales[[#This Row],[SalesAfterDiscount]]-sales[[#This Row],[CostOfGoodsSold]]</f>
        <v>828.59300000000076</v>
      </c>
      <c r="Q418">
        <f>IFERROR(sales[[#This Row],[GrossProfit]]/sales[[#This Row],[SalesAfterDiscount]],0)</f>
        <v>3.9973431867758737E-2</v>
      </c>
    </row>
    <row r="419" spans="1:17">
      <c r="A419" t="s">
        <v>979</v>
      </c>
      <c r="B419" t="s">
        <v>980</v>
      </c>
      <c r="C419" s="1">
        <v>46161</v>
      </c>
      <c r="D419" t="s">
        <v>316</v>
      </c>
      <c r="E419" t="s">
        <v>72</v>
      </c>
      <c r="F419" t="s">
        <v>246</v>
      </c>
      <c r="G419" t="s">
        <v>22</v>
      </c>
      <c r="H419">
        <v>4</v>
      </c>
      <c r="I419">
        <v>9371.8700000000008</v>
      </c>
      <c r="J419">
        <v>0.15</v>
      </c>
      <c r="K419">
        <v>5750</v>
      </c>
      <c r="L419">
        <f>sales[[#This Row],[Quantity]]*sales[[#This Row],[UnitPrice]]</f>
        <v>37487.480000000003</v>
      </c>
      <c r="M419">
        <f>sales[[#This Row],[GrossSales]]*sales[[#This Row],[DiscountRate]]</f>
        <v>5623.1220000000003</v>
      </c>
      <c r="N419">
        <f>sales[[#This Row],[GrossSales]]-sales[[#This Row],[DiscountAmount]]</f>
        <v>31864.358000000004</v>
      </c>
      <c r="O419">
        <f>sales[[#This Row],[Quantity]]*sales[[#This Row],[UnitCostAtSale]]</f>
        <v>23000</v>
      </c>
      <c r="P419">
        <f>sales[[#This Row],[SalesAfterDiscount]]-sales[[#This Row],[CostOfGoodsSold]]</f>
        <v>8864.3580000000038</v>
      </c>
      <c r="Q419">
        <f>IFERROR(sales[[#This Row],[GrossProfit]]/sales[[#This Row],[SalesAfterDiscount]],0)</f>
        <v>0.27819038437868426</v>
      </c>
    </row>
    <row r="420" spans="1:17">
      <c r="A420" t="s">
        <v>981</v>
      </c>
      <c r="B420" t="s">
        <v>982</v>
      </c>
      <c r="C420" s="1">
        <v>45689</v>
      </c>
      <c r="D420" t="s">
        <v>41</v>
      </c>
      <c r="E420" t="s">
        <v>14</v>
      </c>
      <c r="F420" t="s">
        <v>65</v>
      </c>
      <c r="G420" t="s">
        <v>22</v>
      </c>
      <c r="H420">
        <v>2</v>
      </c>
      <c r="I420">
        <v>17279.419999999998</v>
      </c>
      <c r="J420">
        <v>0.1</v>
      </c>
      <c r="K420">
        <v>13950</v>
      </c>
      <c r="L420">
        <f>sales[[#This Row],[Quantity]]*sales[[#This Row],[UnitPrice]]</f>
        <v>34558.839999999997</v>
      </c>
      <c r="M420">
        <f>sales[[#This Row],[GrossSales]]*sales[[#This Row],[DiscountRate]]</f>
        <v>3455.884</v>
      </c>
      <c r="N420">
        <f>sales[[#This Row],[GrossSales]]-sales[[#This Row],[DiscountAmount]]</f>
        <v>31102.955999999998</v>
      </c>
      <c r="O420">
        <f>sales[[#This Row],[Quantity]]*sales[[#This Row],[UnitCostAtSale]]</f>
        <v>27900</v>
      </c>
      <c r="P420">
        <f>sales[[#This Row],[SalesAfterDiscount]]-sales[[#This Row],[CostOfGoodsSold]]</f>
        <v>3202.9559999999983</v>
      </c>
      <c r="Q420">
        <f>IFERROR(sales[[#This Row],[GrossProfit]]/sales[[#This Row],[SalesAfterDiscount]],0)</f>
        <v>0.10297915092057483</v>
      </c>
    </row>
    <row r="421" spans="1:17">
      <c r="A421" t="s">
        <v>983</v>
      </c>
      <c r="B421" t="s">
        <v>984</v>
      </c>
      <c r="C421" s="1">
        <v>45953</v>
      </c>
      <c r="D421" t="s">
        <v>64</v>
      </c>
      <c r="E421" t="s">
        <v>46</v>
      </c>
      <c r="F421" t="s">
        <v>324</v>
      </c>
      <c r="G421" t="s">
        <v>16</v>
      </c>
      <c r="H421">
        <v>2</v>
      </c>
      <c r="I421">
        <v>2056.0100000000002</v>
      </c>
      <c r="J421">
        <v>0.15</v>
      </c>
      <c r="K421">
        <v>1350</v>
      </c>
      <c r="L421">
        <f>sales[[#This Row],[Quantity]]*sales[[#This Row],[UnitPrice]]</f>
        <v>4112.0200000000004</v>
      </c>
      <c r="M421">
        <f>sales[[#This Row],[GrossSales]]*sales[[#This Row],[DiscountRate]]</f>
        <v>616.803</v>
      </c>
      <c r="N421">
        <f>sales[[#This Row],[GrossSales]]-sales[[#This Row],[DiscountAmount]]</f>
        <v>3495.2170000000006</v>
      </c>
      <c r="O421">
        <f>sales[[#This Row],[Quantity]]*sales[[#This Row],[UnitCostAtSale]]</f>
        <v>2700</v>
      </c>
      <c r="P421">
        <f>sales[[#This Row],[SalesAfterDiscount]]-sales[[#This Row],[CostOfGoodsSold]]</f>
        <v>795.21700000000055</v>
      </c>
      <c r="Q421">
        <f>IFERROR(sales[[#This Row],[GrossProfit]]/sales[[#This Row],[SalesAfterDiscount]],0)</f>
        <v>0.22751577369874329</v>
      </c>
    </row>
    <row r="422" spans="1:17">
      <c r="A422" t="s">
        <v>985</v>
      </c>
      <c r="B422" t="s">
        <v>986</v>
      </c>
      <c r="C422" s="1">
        <v>46181</v>
      </c>
      <c r="D422" t="s">
        <v>64</v>
      </c>
      <c r="E422" t="s">
        <v>14</v>
      </c>
      <c r="F422" t="s">
        <v>266</v>
      </c>
      <c r="G422" t="s">
        <v>16</v>
      </c>
      <c r="H422">
        <v>1</v>
      </c>
      <c r="I422">
        <v>2056.0100000000002</v>
      </c>
      <c r="J422">
        <v>0.2</v>
      </c>
      <c r="K422">
        <v>1350</v>
      </c>
      <c r="L422">
        <f>sales[[#This Row],[Quantity]]*sales[[#This Row],[UnitPrice]]</f>
        <v>2056.0100000000002</v>
      </c>
      <c r="M422">
        <f>sales[[#This Row],[GrossSales]]*sales[[#This Row],[DiscountRate]]</f>
        <v>411.20200000000006</v>
      </c>
      <c r="N422">
        <f>sales[[#This Row],[GrossSales]]-sales[[#This Row],[DiscountAmount]]</f>
        <v>1644.8080000000002</v>
      </c>
      <c r="O422">
        <f>sales[[#This Row],[Quantity]]*sales[[#This Row],[UnitCostAtSale]]</f>
        <v>1350</v>
      </c>
      <c r="P422">
        <f>sales[[#This Row],[SalesAfterDiscount]]-sales[[#This Row],[CostOfGoodsSold]]</f>
        <v>294.80800000000022</v>
      </c>
      <c r="Q422">
        <f>IFERROR(sales[[#This Row],[GrossProfit]]/sales[[#This Row],[SalesAfterDiscount]],0)</f>
        <v>0.17923550955491471</v>
      </c>
    </row>
    <row r="423" spans="1:17">
      <c r="A423" t="s">
        <v>987</v>
      </c>
      <c r="B423" t="s">
        <v>988</v>
      </c>
      <c r="C423" s="1">
        <v>45700</v>
      </c>
      <c r="D423" t="s">
        <v>64</v>
      </c>
      <c r="E423" t="s">
        <v>50</v>
      </c>
      <c r="F423" t="s">
        <v>459</v>
      </c>
      <c r="G423" t="s">
        <v>22</v>
      </c>
      <c r="H423">
        <v>4</v>
      </c>
      <c r="I423">
        <v>2056.0100000000002</v>
      </c>
      <c r="J423">
        <v>0.2</v>
      </c>
      <c r="K423">
        <v>1350</v>
      </c>
      <c r="L423">
        <f>sales[[#This Row],[Quantity]]*sales[[#This Row],[UnitPrice]]</f>
        <v>8224.0400000000009</v>
      </c>
      <c r="M423">
        <f>sales[[#This Row],[GrossSales]]*sales[[#This Row],[DiscountRate]]</f>
        <v>1644.8080000000002</v>
      </c>
      <c r="N423">
        <f>sales[[#This Row],[GrossSales]]-sales[[#This Row],[DiscountAmount]]</f>
        <v>6579.2320000000009</v>
      </c>
      <c r="O423">
        <f>sales[[#This Row],[Quantity]]*sales[[#This Row],[UnitCostAtSale]]</f>
        <v>5400</v>
      </c>
      <c r="P423">
        <f>sales[[#This Row],[SalesAfterDiscount]]-sales[[#This Row],[CostOfGoodsSold]]</f>
        <v>1179.2320000000009</v>
      </c>
      <c r="Q423">
        <f>IFERROR(sales[[#This Row],[GrossProfit]]/sales[[#This Row],[SalesAfterDiscount]],0)</f>
        <v>0.17923550955491471</v>
      </c>
    </row>
    <row r="424" spans="1:17">
      <c r="A424" t="s">
        <v>989</v>
      </c>
      <c r="B424" t="s">
        <v>990</v>
      </c>
      <c r="C424" s="1">
        <v>45911</v>
      </c>
      <c r="D424" t="s">
        <v>87</v>
      </c>
      <c r="E424" t="s">
        <v>72</v>
      </c>
      <c r="F424" t="s">
        <v>100</v>
      </c>
      <c r="G424" t="s">
        <v>16</v>
      </c>
      <c r="H424">
        <v>3</v>
      </c>
      <c r="I424">
        <v>9337.2199999999993</v>
      </c>
      <c r="J424">
        <v>0</v>
      </c>
      <c r="K424">
        <v>6050</v>
      </c>
      <c r="L424">
        <f>sales[[#This Row],[Quantity]]*sales[[#This Row],[UnitPrice]]</f>
        <v>28011.659999999996</v>
      </c>
      <c r="M424">
        <f>sales[[#This Row],[GrossSales]]*sales[[#This Row],[DiscountRate]]</f>
        <v>0</v>
      </c>
      <c r="N424">
        <f>sales[[#This Row],[GrossSales]]-sales[[#This Row],[DiscountAmount]]</f>
        <v>28011.659999999996</v>
      </c>
      <c r="O424">
        <f>sales[[#This Row],[Quantity]]*sales[[#This Row],[UnitCostAtSale]]</f>
        <v>18150</v>
      </c>
      <c r="P424">
        <f>sales[[#This Row],[SalesAfterDiscount]]-sales[[#This Row],[CostOfGoodsSold]]</f>
        <v>9861.6599999999962</v>
      </c>
      <c r="Q424">
        <f>IFERROR(sales[[#This Row],[GrossProfit]]/sales[[#This Row],[SalesAfterDiscount]],0)</f>
        <v>0.35205553687285929</v>
      </c>
    </row>
    <row r="425" spans="1:17">
      <c r="A425" t="s">
        <v>991</v>
      </c>
      <c r="B425" t="s">
        <v>992</v>
      </c>
      <c r="C425" s="1">
        <v>45747</v>
      </c>
      <c r="D425" t="s">
        <v>76</v>
      </c>
      <c r="E425" t="s">
        <v>50</v>
      </c>
      <c r="F425" t="s">
        <v>119</v>
      </c>
      <c r="G425" t="s">
        <v>16</v>
      </c>
      <c r="H425">
        <v>4</v>
      </c>
      <c r="I425">
        <v>11999.07</v>
      </c>
      <c r="J425">
        <v>0</v>
      </c>
      <c r="K425">
        <v>9550</v>
      </c>
      <c r="L425">
        <f>sales[[#This Row],[Quantity]]*sales[[#This Row],[UnitPrice]]</f>
        <v>47996.28</v>
      </c>
      <c r="M425">
        <f>sales[[#This Row],[GrossSales]]*sales[[#This Row],[DiscountRate]]</f>
        <v>0</v>
      </c>
      <c r="N425">
        <f>sales[[#This Row],[GrossSales]]-sales[[#This Row],[DiscountAmount]]</f>
        <v>47996.28</v>
      </c>
      <c r="O425">
        <f>sales[[#This Row],[Quantity]]*sales[[#This Row],[UnitCostAtSale]]</f>
        <v>38200</v>
      </c>
      <c r="P425">
        <f>sales[[#This Row],[SalesAfterDiscount]]-sales[[#This Row],[CostOfGoodsSold]]</f>
        <v>9796.2799999999988</v>
      </c>
      <c r="Q425">
        <f>IFERROR(sales[[#This Row],[GrossProfit]]/sales[[#This Row],[SalesAfterDiscount]],0)</f>
        <v>0.20410498480298889</v>
      </c>
    </row>
    <row r="426" spans="1:17">
      <c r="A426" t="s">
        <v>993</v>
      </c>
      <c r="B426" t="s">
        <v>994</v>
      </c>
      <c r="C426" s="1">
        <v>46096</v>
      </c>
      <c r="D426" t="s">
        <v>76</v>
      </c>
      <c r="E426" t="s">
        <v>50</v>
      </c>
      <c r="F426" t="s">
        <v>119</v>
      </c>
      <c r="G426" t="s">
        <v>22</v>
      </c>
      <c r="H426">
        <v>2</v>
      </c>
      <c r="I426">
        <v>11999.07</v>
      </c>
      <c r="J426">
        <v>0.2</v>
      </c>
      <c r="K426">
        <v>9550</v>
      </c>
      <c r="L426">
        <f>sales[[#This Row],[Quantity]]*sales[[#This Row],[UnitPrice]]</f>
        <v>23998.14</v>
      </c>
      <c r="M426">
        <f>sales[[#This Row],[GrossSales]]*sales[[#This Row],[DiscountRate]]</f>
        <v>4799.6279999999997</v>
      </c>
      <c r="N426">
        <f>sales[[#This Row],[GrossSales]]-sales[[#This Row],[DiscountAmount]]</f>
        <v>19198.511999999999</v>
      </c>
      <c r="O426">
        <f>sales[[#This Row],[Quantity]]*sales[[#This Row],[UnitCostAtSale]]</f>
        <v>19100</v>
      </c>
      <c r="P426">
        <f>sales[[#This Row],[SalesAfterDiscount]]-sales[[#This Row],[CostOfGoodsSold]]</f>
        <v>98.511999999998807</v>
      </c>
      <c r="Q426">
        <f>IFERROR(sales[[#This Row],[GrossProfit]]/sales[[#This Row],[SalesAfterDiscount]],0)</f>
        <v>5.1312310037360609E-3</v>
      </c>
    </row>
    <row r="427" spans="1:17">
      <c r="A427" t="s">
        <v>995</v>
      </c>
      <c r="B427" t="s">
        <v>996</v>
      </c>
      <c r="C427" s="1">
        <v>45718</v>
      </c>
      <c r="D427" t="s">
        <v>416</v>
      </c>
      <c r="E427" t="s">
        <v>46</v>
      </c>
      <c r="F427" t="s">
        <v>65</v>
      </c>
      <c r="G427" t="s">
        <v>22</v>
      </c>
      <c r="H427">
        <v>5</v>
      </c>
      <c r="I427">
        <v>3804.25</v>
      </c>
      <c r="J427">
        <v>0.1</v>
      </c>
      <c r="K427">
        <v>2800</v>
      </c>
      <c r="L427">
        <f>sales[[#This Row],[Quantity]]*sales[[#This Row],[UnitPrice]]</f>
        <v>19021.25</v>
      </c>
      <c r="M427">
        <f>sales[[#This Row],[GrossSales]]*sales[[#This Row],[DiscountRate]]</f>
        <v>1902.125</v>
      </c>
      <c r="N427">
        <f>sales[[#This Row],[GrossSales]]-sales[[#This Row],[DiscountAmount]]</f>
        <v>17119.125</v>
      </c>
      <c r="O427">
        <f>sales[[#This Row],[Quantity]]*sales[[#This Row],[UnitCostAtSale]]</f>
        <v>14000</v>
      </c>
      <c r="P427">
        <f>sales[[#This Row],[SalesAfterDiscount]]-sales[[#This Row],[CostOfGoodsSold]]</f>
        <v>3119.125</v>
      </c>
      <c r="Q427">
        <f>IFERROR(sales[[#This Row],[GrossProfit]]/sales[[#This Row],[SalesAfterDiscount]],0)</f>
        <v>0.18220119311004504</v>
      </c>
    </row>
    <row r="428" spans="1:17">
      <c r="A428" t="s">
        <v>997</v>
      </c>
      <c r="B428" t="s">
        <v>998</v>
      </c>
      <c r="C428" s="1">
        <v>45957</v>
      </c>
      <c r="D428" t="s">
        <v>286</v>
      </c>
      <c r="E428" t="s">
        <v>20</v>
      </c>
      <c r="F428" t="s">
        <v>651</v>
      </c>
      <c r="G428" t="s">
        <v>22</v>
      </c>
      <c r="H428">
        <v>3</v>
      </c>
      <c r="I428">
        <v>614.66</v>
      </c>
      <c r="J428">
        <v>0.2</v>
      </c>
      <c r="K428">
        <v>400</v>
      </c>
      <c r="L428">
        <f>sales[[#This Row],[Quantity]]*sales[[#This Row],[UnitPrice]]</f>
        <v>1843.98</v>
      </c>
      <c r="M428">
        <f>sales[[#This Row],[GrossSales]]*sales[[#This Row],[DiscountRate]]</f>
        <v>368.79600000000005</v>
      </c>
      <c r="N428">
        <f>sales[[#This Row],[GrossSales]]-sales[[#This Row],[DiscountAmount]]</f>
        <v>1475.184</v>
      </c>
      <c r="O428">
        <f>sales[[#This Row],[Quantity]]*sales[[#This Row],[UnitCostAtSale]]</f>
        <v>1200</v>
      </c>
      <c r="P428">
        <f>sales[[#This Row],[SalesAfterDiscount]]-sales[[#This Row],[CostOfGoodsSold]]</f>
        <v>275.18399999999997</v>
      </c>
      <c r="Q428">
        <f>IFERROR(sales[[#This Row],[GrossProfit]]/sales[[#This Row],[SalesAfterDiscount]],0)</f>
        <v>0.18654215338561153</v>
      </c>
    </row>
    <row r="429" spans="1:17">
      <c r="A429" t="s">
        <v>999</v>
      </c>
      <c r="B429" t="s">
        <v>1000</v>
      </c>
      <c r="C429" s="1">
        <v>46079</v>
      </c>
      <c r="D429" t="s">
        <v>29</v>
      </c>
      <c r="E429" t="s">
        <v>50</v>
      </c>
      <c r="F429" t="s">
        <v>217</v>
      </c>
      <c r="G429" t="s">
        <v>22</v>
      </c>
      <c r="H429">
        <v>1</v>
      </c>
      <c r="I429">
        <v>13204.06</v>
      </c>
      <c r="J429">
        <v>0.1</v>
      </c>
      <c r="K429">
        <v>11050</v>
      </c>
      <c r="L429">
        <f>sales[[#This Row],[Quantity]]*sales[[#This Row],[UnitPrice]]</f>
        <v>13204.06</v>
      </c>
      <c r="M429">
        <f>sales[[#This Row],[GrossSales]]*sales[[#This Row],[DiscountRate]]</f>
        <v>1320.4059999999999</v>
      </c>
      <c r="N429">
        <f>sales[[#This Row],[GrossSales]]-sales[[#This Row],[DiscountAmount]]</f>
        <v>11883.653999999999</v>
      </c>
      <c r="O429">
        <f>sales[[#This Row],[Quantity]]*sales[[#This Row],[UnitCostAtSale]]</f>
        <v>11050</v>
      </c>
      <c r="P429">
        <f>sales[[#This Row],[SalesAfterDiscount]]-sales[[#This Row],[CostOfGoodsSold]]</f>
        <v>833.65399999999863</v>
      </c>
      <c r="Q429">
        <f>IFERROR(sales[[#This Row],[GrossProfit]]/sales[[#This Row],[SalesAfterDiscount]],0)</f>
        <v>7.0151318777877475E-2</v>
      </c>
    </row>
    <row r="430" spans="1:17">
      <c r="A430" t="s">
        <v>1001</v>
      </c>
      <c r="B430" t="s">
        <v>1002</v>
      </c>
      <c r="C430" s="1">
        <v>45807</v>
      </c>
      <c r="D430" t="s">
        <v>25</v>
      </c>
      <c r="E430" t="s">
        <v>72</v>
      </c>
      <c r="F430" t="s">
        <v>500</v>
      </c>
      <c r="G430" t="s">
        <v>22</v>
      </c>
      <c r="H430">
        <v>3</v>
      </c>
      <c r="I430">
        <v>18592.419999999998</v>
      </c>
      <c r="J430">
        <v>0.05</v>
      </c>
      <c r="K430">
        <v>14600</v>
      </c>
      <c r="L430">
        <f>sales[[#This Row],[Quantity]]*sales[[#This Row],[UnitPrice]]</f>
        <v>55777.259999999995</v>
      </c>
      <c r="M430">
        <f>sales[[#This Row],[GrossSales]]*sales[[#This Row],[DiscountRate]]</f>
        <v>2788.8629999999998</v>
      </c>
      <c r="N430">
        <f>sales[[#This Row],[GrossSales]]-sales[[#This Row],[DiscountAmount]]</f>
        <v>52988.396999999997</v>
      </c>
      <c r="O430">
        <f>sales[[#This Row],[Quantity]]*sales[[#This Row],[UnitCostAtSale]]</f>
        <v>43800</v>
      </c>
      <c r="P430">
        <f>sales[[#This Row],[SalesAfterDiscount]]-sales[[#This Row],[CostOfGoodsSold]]</f>
        <v>9188.3969999999972</v>
      </c>
      <c r="Q430">
        <f>IFERROR(sales[[#This Row],[GrossProfit]]/sales[[#This Row],[SalesAfterDiscount]],0)</f>
        <v>0.17340394350861374</v>
      </c>
    </row>
    <row r="431" spans="1:17">
      <c r="A431" t="s">
        <v>1003</v>
      </c>
      <c r="B431" t="s">
        <v>1004</v>
      </c>
      <c r="C431" s="1">
        <v>45933</v>
      </c>
      <c r="D431" t="s">
        <v>41</v>
      </c>
      <c r="E431" t="s">
        <v>72</v>
      </c>
      <c r="F431" t="s">
        <v>1005</v>
      </c>
      <c r="G431" t="s">
        <v>22</v>
      </c>
      <c r="H431">
        <v>4</v>
      </c>
      <c r="I431">
        <v>17279.419999999998</v>
      </c>
      <c r="J431">
        <v>0.15</v>
      </c>
      <c r="K431">
        <v>13950</v>
      </c>
      <c r="L431">
        <f>sales[[#This Row],[Quantity]]*sales[[#This Row],[UnitPrice]]</f>
        <v>69117.679999999993</v>
      </c>
      <c r="M431">
        <f>sales[[#This Row],[GrossSales]]*sales[[#This Row],[DiscountRate]]</f>
        <v>10367.651999999998</v>
      </c>
      <c r="N431">
        <f>sales[[#This Row],[GrossSales]]-sales[[#This Row],[DiscountAmount]]</f>
        <v>58750.027999999991</v>
      </c>
      <c r="O431">
        <f>sales[[#This Row],[Quantity]]*sales[[#This Row],[UnitCostAtSale]]</f>
        <v>55800</v>
      </c>
      <c r="P431">
        <f>sales[[#This Row],[SalesAfterDiscount]]-sales[[#This Row],[CostOfGoodsSold]]</f>
        <v>2950.0279999999912</v>
      </c>
      <c r="Q431">
        <f>IFERROR(sales[[#This Row],[GrossProfit]]/sales[[#This Row],[SalesAfterDiscount]],0)</f>
        <v>5.0213218621785023E-2</v>
      </c>
    </row>
    <row r="432" spans="1:17">
      <c r="A432" t="s">
        <v>1006</v>
      </c>
      <c r="B432" t="s">
        <v>1007</v>
      </c>
      <c r="C432" s="1">
        <v>46185</v>
      </c>
      <c r="D432" t="s">
        <v>151</v>
      </c>
      <c r="E432" t="s">
        <v>72</v>
      </c>
      <c r="F432" t="s">
        <v>500</v>
      </c>
      <c r="G432" t="s">
        <v>16</v>
      </c>
      <c r="H432">
        <v>3</v>
      </c>
      <c r="I432">
        <v>11729.87</v>
      </c>
      <c r="J432">
        <v>0.1</v>
      </c>
      <c r="K432">
        <v>8950</v>
      </c>
      <c r="L432">
        <f>sales[[#This Row],[Quantity]]*sales[[#This Row],[UnitPrice]]</f>
        <v>35189.61</v>
      </c>
      <c r="M432">
        <f>sales[[#This Row],[GrossSales]]*sales[[#This Row],[DiscountRate]]</f>
        <v>3518.9610000000002</v>
      </c>
      <c r="N432">
        <f>sales[[#This Row],[GrossSales]]-sales[[#This Row],[DiscountAmount]]</f>
        <v>31670.649000000001</v>
      </c>
      <c r="O432">
        <f>sales[[#This Row],[Quantity]]*sales[[#This Row],[UnitCostAtSale]]</f>
        <v>26850</v>
      </c>
      <c r="P432">
        <f>sales[[#This Row],[SalesAfterDiscount]]-sales[[#This Row],[CostOfGoodsSold]]</f>
        <v>4820.6490000000013</v>
      </c>
      <c r="Q432">
        <f>IFERROR(sales[[#This Row],[GrossProfit]]/sales[[#This Row],[SalesAfterDiscount]],0)</f>
        <v>0.15221187920714857</v>
      </c>
    </row>
    <row r="433" spans="1:17">
      <c r="A433" t="s">
        <v>1008</v>
      </c>
      <c r="B433" t="s">
        <v>1009</v>
      </c>
      <c r="C433" s="1">
        <v>45660</v>
      </c>
      <c r="D433" t="s">
        <v>41</v>
      </c>
      <c r="E433" t="s">
        <v>20</v>
      </c>
      <c r="F433" t="s">
        <v>379</v>
      </c>
      <c r="G433" t="s">
        <v>16</v>
      </c>
      <c r="H433">
        <v>1</v>
      </c>
      <c r="I433">
        <v>17279.419999999998</v>
      </c>
      <c r="J433">
        <v>0.15</v>
      </c>
      <c r="K433">
        <v>13950</v>
      </c>
      <c r="L433">
        <f>sales[[#This Row],[Quantity]]*sales[[#This Row],[UnitPrice]]</f>
        <v>17279.419999999998</v>
      </c>
      <c r="M433">
        <f>sales[[#This Row],[GrossSales]]*sales[[#This Row],[DiscountRate]]</f>
        <v>2591.9129999999996</v>
      </c>
      <c r="N433">
        <f>sales[[#This Row],[GrossSales]]-sales[[#This Row],[DiscountAmount]]</f>
        <v>14687.506999999998</v>
      </c>
      <c r="O433">
        <f>sales[[#This Row],[Quantity]]*sales[[#This Row],[UnitCostAtSale]]</f>
        <v>13950</v>
      </c>
      <c r="P433">
        <f>sales[[#This Row],[SalesAfterDiscount]]-sales[[#This Row],[CostOfGoodsSold]]</f>
        <v>737.50699999999779</v>
      </c>
      <c r="Q433">
        <f>IFERROR(sales[[#This Row],[GrossProfit]]/sales[[#This Row],[SalesAfterDiscount]],0)</f>
        <v>5.0213218621785023E-2</v>
      </c>
    </row>
    <row r="434" spans="1:17">
      <c r="A434" t="s">
        <v>1010</v>
      </c>
      <c r="B434" t="s">
        <v>1011</v>
      </c>
      <c r="C434" s="1">
        <v>46097</v>
      </c>
      <c r="D434" t="s">
        <v>33</v>
      </c>
      <c r="E434" t="s">
        <v>20</v>
      </c>
      <c r="F434" t="s">
        <v>172</v>
      </c>
      <c r="G434" t="s">
        <v>16</v>
      </c>
      <c r="H434">
        <v>2</v>
      </c>
      <c r="I434">
        <v>19237.78</v>
      </c>
      <c r="J434">
        <v>0.15</v>
      </c>
      <c r="K434">
        <v>13150</v>
      </c>
      <c r="L434">
        <f>sales[[#This Row],[Quantity]]*sales[[#This Row],[UnitPrice]]</f>
        <v>38475.56</v>
      </c>
      <c r="M434">
        <f>sales[[#This Row],[GrossSales]]*sales[[#This Row],[DiscountRate]]</f>
        <v>5771.3339999999998</v>
      </c>
      <c r="N434">
        <f>sales[[#This Row],[GrossSales]]-sales[[#This Row],[DiscountAmount]]</f>
        <v>32704.225999999999</v>
      </c>
      <c r="O434">
        <f>sales[[#This Row],[Quantity]]*sales[[#This Row],[UnitCostAtSale]]</f>
        <v>26300</v>
      </c>
      <c r="P434">
        <f>sales[[#This Row],[SalesAfterDiscount]]-sales[[#This Row],[CostOfGoodsSold]]</f>
        <v>6404.2259999999987</v>
      </c>
      <c r="Q434">
        <f>IFERROR(sales[[#This Row],[GrossProfit]]/sales[[#This Row],[SalesAfterDiscount]],0)</f>
        <v>0.19582258268396258</v>
      </c>
    </row>
    <row r="435" spans="1:17">
      <c r="A435" t="s">
        <v>1012</v>
      </c>
      <c r="B435" t="s">
        <v>1013</v>
      </c>
      <c r="C435" s="1">
        <v>45791</v>
      </c>
      <c r="D435" t="s">
        <v>286</v>
      </c>
      <c r="E435" t="s">
        <v>20</v>
      </c>
      <c r="F435" t="s">
        <v>788</v>
      </c>
      <c r="G435" t="s">
        <v>22</v>
      </c>
      <c r="H435">
        <v>5</v>
      </c>
      <c r="I435">
        <v>614.66</v>
      </c>
      <c r="J435">
        <v>0.15</v>
      </c>
      <c r="K435">
        <v>400</v>
      </c>
      <c r="L435">
        <f>sales[[#This Row],[Quantity]]*sales[[#This Row],[UnitPrice]]</f>
        <v>3073.2999999999997</v>
      </c>
      <c r="M435">
        <f>sales[[#This Row],[GrossSales]]*sales[[#This Row],[DiscountRate]]</f>
        <v>460.99499999999995</v>
      </c>
      <c r="N435">
        <f>sales[[#This Row],[GrossSales]]-sales[[#This Row],[DiscountAmount]]</f>
        <v>2612.3049999999998</v>
      </c>
      <c r="O435">
        <f>sales[[#This Row],[Quantity]]*sales[[#This Row],[UnitCostAtSale]]</f>
        <v>2000</v>
      </c>
      <c r="P435">
        <f>sales[[#This Row],[SalesAfterDiscount]]-sales[[#This Row],[CostOfGoodsSold]]</f>
        <v>612.30499999999984</v>
      </c>
      <c r="Q435">
        <f>IFERROR(sales[[#This Row],[GrossProfit]]/sales[[#This Row],[SalesAfterDiscount]],0)</f>
        <v>0.23439261495116376</v>
      </c>
    </row>
    <row r="436" spans="1:17">
      <c r="A436" t="s">
        <v>1014</v>
      </c>
      <c r="B436" t="s">
        <v>1015</v>
      </c>
      <c r="C436" s="1">
        <v>45759</v>
      </c>
      <c r="D436" t="s">
        <v>60</v>
      </c>
      <c r="E436" t="s">
        <v>14</v>
      </c>
      <c r="F436" t="s">
        <v>148</v>
      </c>
      <c r="G436" t="s">
        <v>16</v>
      </c>
      <c r="H436">
        <v>4</v>
      </c>
      <c r="I436">
        <v>9389.4699999999993</v>
      </c>
      <c r="J436">
        <v>0</v>
      </c>
      <c r="K436">
        <v>7250</v>
      </c>
      <c r="L436">
        <f>sales[[#This Row],[Quantity]]*sales[[#This Row],[UnitPrice]]</f>
        <v>37557.879999999997</v>
      </c>
      <c r="M436">
        <f>sales[[#This Row],[GrossSales]]*sales[[#This Row],[DiscountRate]]</f>
        <v>0</v>
      </c>
      <c r="N436">
        <f>sales[[#This Row],[GrossSales]]-sales[[#This Row],[DiscountAmount]]</f>
        <v>37557.879999999997</v>
      </c>
      <c r="O436">
        <f>sales[[#This Row],[Quantity]]*sales[[#This Row],[UnitCostAtSale]]</f>
        <v>29000</v>
      </c>
      <c r="P436">
        <f>sales[[#This Row],[SalesAfterDiscount]]-sales[[#This Row],[CostOfGoodsSold]]</f>
        <v>8557.8799999999974</v>
      </c>
      <c r="Q436">
        <f>IFERROR(sales[[#This Row],[GrossProfit]]/sales[[#This Row],[SalesAfterDiscount]],0)</f>
        <v>0.2278584414242763</v>
      </c>
    </row>
    <row r="437" spans="1:17">
      <c r="A437" t="s">
        <v>1016</v>
      </c>
      <c r="B437" t="s">
        <v>1017</v>
      </c>
      <c r="C437" s="1">
        <v>45658</v>
      </c>
      <c r="D437" t="s">
        <v>112</v>
      </c>
      <c r="E437" t="s">
        <v>50</v>
      </c>
      <c r="F437" t="s">
        <v>263</v>
      </c>
      <c r="G437" t="s">
        <v>16</v>
      </c>
      <c r="H437">
        <v>4</v>
      </c>
      <c r="I437">
        <v>10868.14</v>
      </c>
      <c r="J437">
        <v>0.05</v>
      </c>
      <c r="K437">
        <v>8850</v>
      </c>
      <c r="L437">
        <f>sales[[#This Row],[Quantity]]*sales[[#This Row],[UnitPrice]]</f>
        <v>43472.56</v>
      </c>
      <c r="M437">
        <f>sales[[#This Row],[GrossSales]]*sales[[#This Row],[DiscountRate]]</f>
        <v>2173.6280000000002</v>
      </c>
      <c r="N437">
        <f>sales[[#This Row],[GrossSales]]-sales[[#This Row],[DiscountAmount]]</f>
        <v>41298.932000000001</v>
      </c>
      <c r="O437">
        <f>sales[[#This Row],[Quantity]]*sales[[#This Row],[UnitCostAtSale]]</f>
        <v>35400</v>
      </c>
      <c r="P437">
        <f>sales[[#This Row],[SalesAfterDiscount]]-sales[[#This Row],[CostOfGoodsSold]]</f>
        <v>5898.9320000000007</v>
      </c>
      <c r="Q437">
        <f>IFERROR(sales[[#This Row],[GrossProfit]]/sales[[#This Row],[SalesAfterDiscount]],0)</f>
        <v>0.14283497694322944</v>
      </c>
    </row>
    <row r="438" spans="1:17">
      <c r="A438" t="s">
        <v>1018</v>
      </c>
      <c r="B438" t="s">
        <v>1019</v>
      </c>
      <c r="C438" s="1">
        <v>45938</v>
      </c>
      <c r="D438" t="s">
        <v>313</v>
      </c>
      <c r="E438" t="s">
        <v>20</v>
      </c>
      <c r="F438" t="s">
        <v>231</v>
      </c>
      <c r="G438" t="s">
        <v>16</v>
      </c>
      <c r="H438">
        <v>1</v>
      </c>
      <c r="I438">
        <v>3335.18</v>
      </c>
      <c r="J438">
        <v>0.1</v>
      </c>
      <c r="K438">
        <v>2600</v>
      </c>
      <c r="L438">
        <f>sales[[#This Row],[Quantity]]*sales[[#This Row],[UnitPrice]]</f>
        <v>3335.18</v>
      </c>
      <c r="M438">
        <f>sales[[#This Row],[GrossSales]]*sales[[#This Row],[DiscountRate]]</f>
        <v>333.51800000000003</v>
      </c>
      <c r="N438">
        <f>sales[[#This Row],[GrossSales]]-sales[[#This Row],[DiscountAmount]]</f>
        <v>3001.6619999999998</v>
      </c>
      <c r="O438">
        <f>sales[[#This Row],[Quantity]]*sales[[#This Row],[UnitCostAtSale]]</f>
        <v>2600</v>
      </c>
      <c r="P438">
        <f>sales[[#This Row],[SalesAfterDiscount]]-sales[[#This Row],[CostOfGoodsSold]]</f>
        <v>401.66199999999981</v>
      </c>
      <c r="Q438">
        <f>IFERROR(sales[[#This Row],[GrossProfit]]/sales[[#This Row],[SalesAfterDiscount]],0)</f>
        <v>0.13381320082007894</v>
      </c>
    </row>
    <row r="439" spans="1:17">
      <c r="A439" t="s">
        <v>1020</v>
      </c>
      <c r="B439" t="s">
        <v>1021</v>
      </c>
      <c r="C439" s="1">
        <v>45827</v>
      </c>
      <c r="D439" t="s">
        <v>49</v>
      </c>
      <c r="E439" t="s">
        <v>20</v>
      </c>
      <c r="F439" t="s">
        <v>51</v>
      </c>
      <c r="G439" t="s">
        <v>22</v>
      </c>
      <c r="H439">
        <v>1</v>
      </c>
      <c r="I439">
        <v>13787.88</v>
      </c>
      <c r="J439">
        <v>0.15</v>
      </c>
      <c r="K439">
        <v>9500</v>
      </c>
      <c r="L439">
        <f>sales[[#This Row],[Quantity]]*sales[[#This Row],[UnitPrice]]</f>
        <v>13787.88</v>
      </c>
      <c r="M439">
        <f>sales[[#This Row],[GrossSales]]*sales[[#This Row],[DiscountRate]]</f>
        <v>2068.1819999999998</v>
      </c>
      <c r="N439">
        <f>sales[[#This Row],[GrossSales]]-sales[[#This Row],[DiscountAmount]]</f>
        <v>11719.698</v>
      </c>
      <c r="O439">
        <f>sales[[#This Row],[Quantity]]*sales[[#This Row],[UnitCostAtSale]]</f>
        <v>9500</v>
      </c>
      <c r="P439">
        <f>sales[[#This Row],[SalesAfterDiscount]]-sales[[#This Row],[CostOfGoodsSold]]</f>
        <v>2219.6980000000003</v>
      </c>
      <c r="Q439">
        <f>IFERROR(sales[[#This Row],[GrossProfit]]/sales[[#This Row],[SalesAfterDiscount]],0)</f>
        <v>0.18939890771929449</v>
      </c>
    </row>
    <row r="440" spans="1:17">
      <c r="A440" t="s">
        <v>1022</v>
      </c>
      <c r="B440" t="s">
        <v>1023</v>
      </c>
      <c r="C440" s="1">
        <v>45751</v>
      </c>
      <c r="D440" t="s">
        <v>316</v>
      </c>
      <c r="E440" t="s">
        <v>50</v>
      </c>
      <c r="F440" t="s">
        <v>73</v>
      </c>
      <c r="G440" t="s">
        <v>22</v>
      </c>
      <c r="H440">
        <v>1</v>
      </c>
      <c r="I440">
        <v>9371.8700000000008</v>
      </c>
      <c r="J440">
        <v>0</v>
      </c>
      <c r="K440">
        <v>5750</v>
      </c>
      <c r="L440">
        <f>sales[[#This Row],[Quantity]]*sales[[#This Row],[UnitPrice]]</f>
        <v>9371.8700000000008</v>
      </c>
      <c r="M440">
        <f>sales[[#This Row],[GrossSales]]*sales[[#This Row],[DiscountRate]]</f>
        <v>0</v>
      </c>
      <c r="N440">
        <f>sales[[#This Row],[GrossSales]]-sales[[#This Row],[DiscountAmount]]</f>
        <v>9371.8700000000008</v>
      </c>
      <c r="O440">
        <f>sales[[#This Row],[Quantity]]*sales[[#This Row],[UnitCostAtSale]]</f>
        <v>5750</v>
      </c>
      <c r="P440">
        <f>sales[[#This Row],[SalesAfterDiscount]]-sales[[#This Row],[CostOfGoodsSold]]</f>
        <v>3621.8700000000008</v>
      </c>
      <c r="Q440">
        <f>IFERROR(sales[[#This Row],[GrossProfit]]/sales[[#This Row],[SalesAfterDiscount]],0)</f>
        <v>0.38646182672188162</v>
      </c>
    </row>
    <row r="441" spans="1:17">
      <c r="A441" t="s">
        <v>1024</v>
      </c>
      <c r="B441" t="s">
        <v>1025</v>
      </c>
      <c r="C441" s="1">
        <v>45889</v>
      </c>
      <c r="D441" t="s">
        <v>29</v>
      </c>
      <c r="E441" t="s">
        <v>14</v>
      </c>
      <c r="F441" t="s">
        <v>103</v>
      </c>
      <c r="G441" t="s">
        <v>16</v>
      </c>
      <c r="H441">
        <v>5</v>
      </c>
      <c r="I441">
        <v>13204.06</v>
      </c>
      <c r="J441">
        <v>0.15</v>
      </c>
      <c r="K441">
        <v>11050</v>
      </c>
      <c r="L441">
        <f>sales[[#This Row],[Quantity]]*sales[[#This Row],[UnitPrice]]</f>
        <v>66020.3</v>
      </c>
      <c r="M441">
        <f>sales[[#This Row],[GrossSales]]*sales[[#This Row],[DiscountRate]]</f>
        <v>9903.0450000000001</v>
      </c>
      <c r="N441">
        <f>sales[[#This Row],[GrossSales]]-sales[[#This Row],[DiscountAmount]]</f>
        <v>56117.255000000005</v>
      </c>
      <c r="O441">
        <f>sales[[#This Row],[Quantity]]*sales[[#This Row],[UnitCostAtSale]]</f>
        <v>55250</v>
      </c>
      <c r="P441">
        <f>sales[[#This Row],[SalesAfterDiscount]]-sales[[#This Row],[CostOfGoodsSold]]</f>
        <v>867.25500000000466</v>
      </c>
      <c r="Q441">
        <f>IFERROR(sales[[#This Row],[GrossProfit]]/sales[[#This Row],[SalesAfterDiscount]],0)</f>
        <v>1.5454337529517519E-2</v>
      </c>
    </row>
    <row r="442" spans="1:17">
      <c r="A442" t="s">
        <v>1026</v>
      </c>
      <c r="B442" t="s">
        <v>1027</v>
      </c>
      <c r="C442" s="1">
        <v>45781</v>
      </c>
      <c r="D442" t="s">
        <v>126</v>
      </c>
      <c r="E442" t="s">
        <v>72</v>
      </c>
      <c r="F442" t="s">
        <v>1005</v>
      </c>
      <c r="G442" t="s">
        <v>22</v>
      </c>
      <c r="H442">
        <v>4</v>
      </c>
      <c r="I442">
        <v>17523.439999999999</v>
      </c>
      <c r="J442">
        <v>0.05</v>
      </c>
      <c r="K442">
        <v>11850</v>
      </c>
      <c r="L442">
        <f>sales[[#This Row],[Quantity]]*sales[[#This Row],[UnitPrice]]</f>
        <v>70093.759999999995</v>
      </c>
      <c r="M442">
        <f>sales[[#This Row],[GrossSales]]*sales[[#This Row],[DiscountRate]]</f>
        <v>3504.6880000000001</v>
      </c>
      <c r="N442">
        <f>sales[[#This Row],[GrossSales]]-sales[[#This Row],[DiscountAmount]]</f>
        <v>66589.072</v>
      </c>
      <c r="O442">
        <f>sales[[#This Row],[Quantity]]*sales[[#This Row],[UnitCostAtSale]]</f>
        <v>47400</v>
      </c>
      <c r="P442">
        <f>sales[[#This Row],[SalesAfterDiscount]]-sales[[#This Row],[CostOfGoodsSold]]</f>
        <v>19189.072</v>
      </c>
      <c r="Q442">
        <f>IFERROR(sales[[#This Row],[GrossProfit]]/sales[[#This Row],[SalesAfterDiscount]],0)</f>
        <v>0.28817148855896357</v>
      </c>
    </row>
    <row r="443" spans="1:17">
      <c r="A443" t="s">
        <v>1028</v>
      </c>
      <c r="B443" t="s">
        <v>1029</v>
      </c>
      <c r="C443" s="1">
        <v>45749</v>
      </c>
      <c r="D443" t="s">
        <v>151</v>
      </c>
      <c r="E443" t="s">
        <v>20</v>
      </c>
      <c r="F443" t="s">
        <v>535</v>
      </c>
      <c r="G443" t="s">
        <v>16</v>
      </c>
      <c r="H443">
        <v>1</v>
      </c>
      <c r="I443">
        <v>11729.87</v>
      </c>
      <c r="J443">
        <v>0</v>
      </c>
      <c r="K443">
        <v>8950</v>
      </c>
      <c r="L443">
        <f>sales[[#This Row],[Quantity]]*sales[[#This Row],[UnitPrice]]</f>
        <v>11729.87</v>
      </c>
      <c r="M443">
        <f>sales[[#This Row],[GrossSales]]*sales[[#This Row],[DiscountRate]]</f>
        <v>0</v>
      </c>
      <c r="N443">
        <f>sales[[#This Row],[GrossSales]]-sales[[#This Row],[DiscountAmount]]</f>
        <v>11729.87</v>
      </c>
      <c r="O443">
        <f>sales[[#This Row],[Quantity]]*sales[[#This Row],[UnitCostAtSale]]</f>
        <v>8950</v>
      </c>
      <c r="P443">
        <f>sales[[#This Row],[SalesAfterDiscount]]-sales[[#This Row],[CostOfGoodsSold]]</f>
        <v>2779.8700000000008</v>
      </c>
      <c r="Q443">
        <f>IFERROR(sales[[#This Row],[GrossProfit]]/sales[[#This Row],[SalesAfterDiscount]],0)</f>
        <v>0.23699069128643374</v>
      </c>
    </row>
    <row r="444" spans="1:17">
      <c r="A444" t="s">
        <v>1030</v>
      </c>
      <c r="B444" t="s">
        <v>1031</v>
      </c>
      <c r="C444" s="1">
        <v>46049</v>
      </c>
      <c r="D444" t="s">
        <v>29</v>
      </c>
      <c r="E444" t="s">
        <v>14</v>
      </c>
      <c r="F444" t="s">
        <v>30</v>
      </c>
      <c r="G444" t="s">
        <v>22</v>
      </c>
      <c r="H444">
        <v>2</v>
      </c>
      <c r="I444">
        <v>13204.06</v>
      </c>
      <c r="J444">
        <v>0.05</v>
      </c>
      <c r="K444">
        <v>11050</v>
      </c>
      <c r="L444">
        <f>sales[[#This Row],[Quantity]]*sales[[#This Row],[UnitPrice]]</f>
        <v>26408.12</v>
      </c>
      <c r="M444">
        <f>sales[[#This Row],[GrossSales]]*sales[[#This Row],[DiscountRate]]</f>
        <v>1320.4059999999999</v>
      </c>
      <c r="N444">
        <f>sales[[#This Row],[GrossSales]]-sales[[#This Row],[DiscountAmount]]</f>
        <v>25087.714</v>
      </c>
      <c r="O444">
        <f>sales[[#This Row],[Quantity]]*sales[[#This Row],[UnitCostAtSale]]</f>
        <v>22100</v>
      </c>
      <c r="P444">
        <f>sales[[#This Row],[SalesAfterDiscount]]-sales[[#This Row],[CostOfGoodsSold]]</f>
        <v>2987.7139999999999</v>
      </c>
      <c r="Q444">
        <f>IFERROR(sales[[#This Row],[GrossProfit]]/sales[[#This Row],[SalesAfterDiscount]],0)</f>
        <v>0.11909072305272612</v>
      </c>
    </row>
    <row r="445" spans="1:17">
      <c r="A445" t="s">
        <v>1032</v>
      </c>
      <c r="B445" t="s">
        <v>1033</v>
      </c>
      <c r="C445" s="1">
        <v>45826</v>
      </c>
      <c r="D445" t="s">
        <v>95</v>
      </c>
      <c r="E445" t="s">
        <v>50</v>
      </c>
      <c r="F445" t="s">
        <v>677</v>
      </c>
      <c r="G445" t="s">
        <v>22</v>
      </c>
      <c r="H445">
        <v>4</v>
      </c>
      <c r="I445">
        <v>12048.66</v>
      </c>
      <c r="J445">
        <v>0.1</v>
      </c>
      <c r="K445">
        <v>9900</v>
      </c>
      <c r="L445">
        <f>sales[[#This Row],[Quantity]]*sales[[#This Row],[UnitPrice]]</f>
        <v>48194.64</v>
      </c>
      <c r="M445">
        <f>sales[[#This Row],[GrossSales]]*sales[[#This Row],[DiscountRate]]</f>
        <v>4819.4639999999999</v>
      </c>
      <c r="N445">
        <f>sales[[#This Row],[GrossSales]]-sales[[#This Row],[DiscountAmount]]</f>
        <v>43375.175999999999</v>
      </c>
      <c r="O445">
        <f>sales[[#This Row],[Quantity]]*sales[[#This Row],[UnitCostAtSale]]</f>
        <v>39600</v>
      </c>
      <c r="P445">
        <f>sales[[#This Row],[SalesAfterDiscount]]-sales[[#This Row],[CostOfGoodsSold]]</f>
        <v>3775.1759999999995</v>
      </c>
      <c r="Q445">
        <f>IFERROR(sales[[#This Row],[GrossProfit]]/sales[[#This Row],[SalesAfterDiscount]],0)</f>
        <v>8.7035404767003124E-2</v>
      </c>
    </row>
    <row r="446" spans="1:17">
      <c r="A446" t="s">
        <v>1034</v>
      </c>
      <c r="B446" t="s">
        <v>1035</v>
      </c>
      <c r="C446" s="1">
        <v>46079</v>
      </c>
      <c r="D446" t="s">
        <v>99</v>
      </c>
      <c r="E446" t="s">
        <v>50</v>
      </c>
      <c r="F446" t="s">
        <v>555</v>
      </c>
      <c r="G446" t="s">
        <v>22</v>
      </c>
      <c r="H446">
        <v>5</v>
      </c>
      <c r="I446">
        <v>10644.48</v>
      </c>
      <c r="J446">
        <v>0.15</v>
      </c>
      <c r="K446">
        <v>7050</v>
      </c>
      <c r="L446">
        <f>sales[[#This Row],[Quantity]]*sales[[#This Row],[UnitPrice]]</f>
        <v>53222.399999999994</v>
      </c>
      <c r="M446">
        <f>sales[[#This Row],[GrossSales]]*sales[[#This Row],[DiscountRate]]</f>
        <v>7983.3599999999988</v>
      </c>
      <c r="N446">
        <f>sales[[#This Row],[GrossSales]]-sales[[#This Row],[DiscountAmount]]</f>
        <v>45239.039999999994</v>
      </c>
      <c r="O446">
        <f>sales[[#This Row],[Quantity]]*sales[[#This Row],[UnitCostAtSale]]</f>
        <v>35250</v>
      </c>
      <c r="P446">
        <f>sales[[#This Row],[SalesAfterDiscount]]-sales[[#This Row],[CostOfGoodsSold]]</f>
        <v>9989.0399999999936</v>
      </c>
      <c r="Q446">
        <f>IFERROR(sales[[#This Row],[GrossProfit]]/sales[[#This Row],[SalesAfterDiscount]],0)</f>
        <v>0.22080574654104054</v>
      </c>
    </row>
    <row r="447" spans="1:17">
      <c r="A447" t="s">
        <v>1036</v>
      </c>
      <c r="B447" t="s">
        <v>1037</v>
      </c>
      <c r="C447" s="1">
        <v>45784</v>
      </c>
      <c r="D447" t="s">
        <v>29</v>
      </c>
      <c r="E447" t="s">
        <v>20</v>
      </c>
      <c r="F447" t="s">
        <v>459</v>
      </c>
      <c r="G447" t="s">
        <v>16</v>
      </c>
      <c r="H447">
        <v>5</v>
      </c>
      <c r="I447">
        <v>13204.06</v>
      </c>
      <c r="J447">
        <v>0.15</v>
      </c>
      <c r="K447">
        <v>11050</v>
      </c>
      <c r="L447">
        <f>sales[[#This Row],[Quantity]]*sales[[#This Row],[UnitPrice]]</f>
        <v>66020.3</v>
      </c>
      <c r="M447">
        <f>sales[[#This Row],[GrossSales]]*sales[[#This Row],[DiscountRate]]</f>
        <v>9903.0450000000001</v>
      </c>
      <c r="N447">
        <f>sales[[#This Row],[GrossSales]]-sales[[#This Row],[DiscountAmount]]</f>
        <v>56117.255000000005</v>
      </c>
      <c r="O447">
        <f>sales[[#This Row],[Quantity]]*sales[[#This Row],[UnitCostAtSale]]</f>
        <v>55250</v>
      </c>
      <c r="P447">
        <f>sales[[#This Row],[SalesAfterDiscount]]-sales[[#This Row],[CostOfGoodsSold]]</f>
        <v>867.25500000000466</v>
      </c>
      <c r="Q447">
        <f>IFERROR(sales[[#This Row],[GrossProfit]]/sales[[#This Row],[SalesAfterDiscount]],0)</f>
        <v>1.5454337529517519E-2</v>
      </c>
    </row>
    <row r="448" spans="1:17">
      <c r="A448" t="s">
        <v>1038</v>
      </c>
      <c r="B448" t="s">
        <v>1039</v>
      </c>
      <c r="C448" s="1">
        <v>45801</v>
      </c>
      <c r="D448" t="s">
        <v>416</v>
      </c>
      <c r="E448" t="s">
        <v>14</v>
      </c>
      <c r="F448" t="s">
        <v>92</v>
      </c>
      <c r="G448" t="s">
        <v>16</v>
      </c>
      <c r="H448">
        <v>2</v>
      </c>
      <c r="I448">
        <v>3804.25</v>
      </c>
      <c r="J448">
        <v>0.1</v>
      </c>
      <c r="K448">
        <v>2800</v>
      </c>
      <c r="L448">
        <f>sales[[#This Row],[Quantity]]*sales[[#This Row],[UnitPrice]]</f>
        <v>7608.5</v>
      </c>
      <c r="M448">
        <f>sales[[#This Row],[GrossSales]]*sales[[#This Row],[DiscountRate]]</f>
        <v>760.85</v>
      </c>
      <c r="N448">
        <f>sales[[#This Row],[GrossSales]]-sales[[#This Row],[DiscountAmount]]</f>
        <v>6847.65</v>
      </c>
      <c r="O448">
        <f>sales[[#This Row],[Quantity]]*sales[[#This Row],[UnitCostAtSale]]</f>
        <v>5600</v>
      </c>
      <c r="P448">
        <f>sales[[#This Row],[SalesAfterDiscount]]-sales[[#This Row],[CostOfGoodsSold]]</f>
        <v>1247.6499999999996</v>
      </c>
      <c r="Q448">
        <f>IFERROR(sales[[#This Row],[GrossProfit]]/sales[[#This Row],[SalesAfterDiscount]],0)</f>
        <v>0.18220119311004501</v>
      </c>
    </row>
    <row r="449" spans="1:17">
      <c r="A449" t="s">
        <v>1040</v>
      </c>
      <c r="B449" t="s">
        <v>1041</v>
      </c>
      <c r="C449" s="1">
        <v>45685</v>
      </c>
      <c r="D449" t="s">
        <v>202</v>
      </c>
      <c r="E449" t="s">
        <v>46</v>
      </c>
      <c r="F449" t="s">
        <v>164</v>
      </c>
      <c r="G449" t="s">
        <v>22</v>
      </c>
      <c r="H449">
        <v>3</v>
      </c>
      <c r="I449">
        <v>3559.5</v>
      </c>
      <c r="J449">
        <v>0.05</v>
      </c>
      <c r="K449">
        <v>2250</v>
      </c>
      <c r="L449">
        <f>sales[[#This Row],[Quantity]]*sales[[#This Row],[UnitPrice]]</f>
        <v>10678.5</v>
      </c>
      <c r="M449">
        <f>sales[[#This Row],[GrossSales]]*sales[[#This Row],[DiscountRate]]</f>
        <v>533.92500000000007</v>
      </c>
      <c r="N449">
        <f>sales[[#This Row],[GrossSales]]-sales[[#This Row],[DiscountAmount]]</f>
        <v>10144.575000000001</v>
      </c>
      <c r="O449">
        <f>sales[[#This Row],[Quantity]]*sales[[#This Row],[UnitCostAtSale]]</f>
        <v>6750</v>
      </c>
      <c r="P449">
        <f>sales[[#This Row],[SalesAfterDiscount]]-sales[[#This Row],[CostOfGoodsSold]]</f>
        <v>3394.5750000000007</v>
      </c>
      <c r="Q449">
        <f>IFERROR(sales[[#This Row],[GrossProfit]]/sales[[#This Row],[SalesAfterDiscount]],0)</f>
        <v>0.33461973517865468</v>
      </c>
    </row>
    <row r="450" spans="1:17">
      <c r="A450" t="s">
        <v>1042</v>
      </c>
      <c r="B450" t="s">
        <v>1043</v>
      </c>
      <c r="C450" s="1">
        <v>46059</v>
      </c>
      <c r="D450" t="s">
        <v>87</v>
      </c>
      <c r="E450" t="s">
        <v>50</v>
      </c>
      <c r="F450" t="s">
        <v>428</v>
      </c>
      <c r="G450" t="s">
        <v>16</v>
      </c>
      <c r="H450">
        <v>3</v>
      </c>
      <c r="I450">
        <v>9337.2199999999993</v>
      </c>
      <c r="J450">
        <v>0</v>
      </c>
      <c r="K450">
        <v>6050</v>
      </c>
      <c r="L450">
        <f>sales[[#This Row],[Quantity]]*sales[[#This Row],[UnitPrice]]</f>
        <v>28011.659999999996</v>
      </c>
      <c r="M450">
        <f>sales[[#This Row],[GrossSales]]*sales[[#This Row],[DiscountRate]]</f>
        <v>0</v>
      </c>
      <c r="N450">
        <f>sales[[#This Row],[GrossSales]]-sales[[#This Row],[DiscountAmount]]</f>
        <v>28011.659999999996</v>
      </c>
      <c r="O450">
        <f>sales[[#This Row],[Quantity]]*sales[[#This Row],[UnitCostAtSale]]</f>
        <v>18150</v>
      </c>
      <c r="P450">
        <f>sales[[#This Row],[SalesAfterDiscount]]-sales[[#This Row],[CostOfGoodsSold]]</f>
        <v>9861.6599999999962</v>
      </c>
      <c r="Q450">
        <f>IFERROR(sales[[#This Row],[GrossProfit]]/sales[[#This Row],[SalesAfterDiscount]],0)</f>
        <v>0.35205553687285929</v>
      </c>
    </row>
    <row r="451" spans="1:17">
      <c r="A451" t="s">
        <v>1044</v>
      </c>
      <c r="B451" t="s">
        <v>1045</v>
      </c>
      <c r="C451" s="1">
        <v>45904</v>
      </c>
      <c r="D451" t="s">
        <v>37</v>
      </c>
      <c r="E451" t="s">
        <v>14</v>
      </c>
      <c r="F451" t="s">
        <v>30</v>
      </c>
      <c r="G451" t="s">
        <v>22</v>
      </c>
      <c r="H451">
        <v>4</v>
      </c>
      <c r="I451">
        <v>17336.23</v>
      </c>
      <c r="J451">
        <v>0.2</v>
      </c>
      <c r="K451">
        <v>14200</v>
      </c>
      <c r="L451">
        <f>sales[[#This Row],[Quantity]]*sales[[#This Row],[UnitPrice]]</f>
        <v>69344.92</v>
      </c>
      <c r="M451">
        <f>sales[[#This Row],[GrossSales]]*sales[[#This Row],[DiscountRate]]</f>
        <v>13868.984</v>
      </c>
      <c r="N451">
        <f>sales[[#This Row],[GrossSales]]-sales[[#This Row],[DiscountAmount]]</f>
        <v>55475.936000000002</v>
      </c>
      <c r="O451">
        <f>sales[[#This Row],[Quantity]]*sales[[#This Row],[UnitCostAtSale]]</f>
        <v>56800</v>
      </c>
      <c r="P451">
        <f>sales[[#This Row],[SalesAfterDiscount]]-sales[[#This Row],[CostOfGoodsSold]]</f>
        <v>-1324.0639999999985</v>
      </c>
      <c r="Q451">
        <f>IFERROR(sales[[#This Row],[GrossProfit]]/sales[[#This Row],[SalesAfterDiscount]],0)</f>
        <v>-2.3867357551209202E-2</v>
      </c>
    </row>
    <row r="452" spans="1:17">
      <c r="A452" t="s">
        <v>1046</v>
      </c>
      <c r="B452" t="s">
        <v>1047</v>
      </c>
      <c r="C452" s="1">
        <v>45982</v>
      </c>
      <c r="D452" t="s">
        <v>13</v>
      </c>
      <c r="E452" t="s">
        <v>46</v>
      </c>
      <c r="F452" t="s">
        <v>176</v>
      </c>
      <c r="G452" t="s">
        <v>16</v>
      </c>
      <c r="H452">
        <v>2</v>
      </c>
      <c r="I452">
        <v>6484.94</v>
      </c>
      <c r="J452">
        <v>0.15</v>
      </c>
      <c r="K452">
        <v>4300</v>
      </c>
      <c r="L452">
        <f>sales[[#This Row],[Quantity]]*sales[[#This Row],[UnitPrice]]</f>
        <v>12969.88</v>
      </c>
      <c r="M452">
        <f>sales[[#This Row],[GrossSales]]*sales[[#This Row],[DiscountRate]]</f>
        <v>1945.4819999999997</v>
      </c>
      <c r="N452">
        <f>sales[[#This Row],[GrossSales]]-sales[[#This Row],[DiscountAmount]]</f>
        <v>11024.397999999999</v>
      </c>
      <c r="O452">
        <f>sales[[#This Row],[Quantity]]*sales[[#This Row],[UnitCostAtSale]]</f>
        <v>8600</v>
      </c>
      <c r="P452">
        <f>sales[[#This Row],[SalesAfterDiscount]]-sales[[#This Row],[CostOfGoodsSold]]</f>
        <v>2424.3979999999992</v>
      </c>
      <c r="Q452">
        <f>IFERROR(sales[[#This Row],[GrossProfit]]/sales[[#This Row],[SalesAfterDiscount]],0)</f>
        <v>0.21991205324771471</v>
      </c>
    </row>
    <row r="453" spans="1:17">
      <c r="A453" t="s">
        <v>1048</v>
      </c>
      <c r="B453" t="s">
        <v>1049</v>
      </c>
      <c r="C453" s="1">
        <v>45834</v>
      </c>
      <c r="D453" t="s">
        <v>64</v>
      </c>
      <c r="E453" t="s">
        <v>14</v>
      </c>
      <c r="F453" t="s">
        <v>251</v>
      </c>
      <c r="G453" t="s">
        <v>22</v>
      </c>
      <c r="H453">
        <v>4</v>
      </c>
      <c r="I453">
        <v>2056.0100000000002</v>
      </c>
      <c r="J453">
        <v>0</v>
      </c>
      <c r="K453">
        <v>1350</v>
      </c>
      <c r="L453">
        <f>sales[[#This Row],[Quantity]]*sales[[#This Row],[UnitPrice]]</f>
        <v>8224.0400000000009</v>
      </c>
      <c r="M453">
        <f>sales[[#This Row],[GrossSales]]*sales[[#This Row],[DiscountRate]]</f>
        <v>0</v>
      </c>
      <c r="N453">
        <f>sales[[#This Row],[GrossSales]]-sales[[#This Row],[DiscountAmount]]</f>
        <v>8224.0400000000009</v>
      </c>
      <c r="O453">
        <f>sales[[#This Row],[Quantity]]*sales[[#This Row],[UnitCostAtSale]]</f>
        <v>5400</v>
      </c>
      <c r="P453">
        <f>sales[[#This Row],[SalesAfterDiscount]]-sales[[#This Row],[CostOfGoodsSold]]</f>
        <v>2824.0400000000009</v>
      </c>
      <c r="Q453">
        <f>IFERROR(sales[[#This Row],[GrossProfit]]/sales[[#This Row],[SalesAfterDiscount]],0)</f>
        <v>0.34338840764393175</v>
      </c>
    </row>
    <row r="454" spans="1:17">
      <c r="A454" t="s">
        <v>1050</v>
      </c>
      <c r="B454" t="s">
        <v>1051</v>
      </c>
      <c r="C454" s="1">
        <v>45926</v>
      </c>
      <c r="D454" t="s">
        <v>161</v>
      </c>
      <c r="E454" t="s">
        <v>14</v>
      </c>
      <c r="F454" t="s">
        <v>419</v>
      </c>
      <c r="G454" t="s">
        <v>16</v>
      </c>
      <c r="H454">
        <v>2</v>
      </c>
      <c r="I454">
        <v>3694.44</v>
      </c>
      <c r="J454">
        <v>0</v>
      </c>
      <c r="K454">
        <v>3100</v>
      </c>
      <c r="L454">
        <f>sales[[#This Row],[Quantity]]*sales[[#This Row],[UnitPrice]]</f>
        <v>7388.88</v>
      </c>
      <c r="M454">
        <f>sales[[#This Row],[GrossSales]]*sales[[#This Row],[DiscountRate]]</f>
        <v>0</v>
      </c>
      <c r="N454">
        <f>sales[[#This Row],[GrossSales]]-sales[[#This Row],[DiscountAmount]]</f>
        <v>7388.88</v>
      </c>
      <c r="O454">
        <f>sales[[#This Row],[Quantity]]*sales[[#This Row],[UnitCostAtSale]]</f>
        <v>6200</v>
      </c>
      <c r="P454">
        <f>sales[[#This Row],[SalesAfterDiscount]]-sales[[#This Row],[CostOfGoodsSold]]</f>
        <v>1188.8800000000001</v>
      </c>
      <c r="Q454">
        <f>IFERROR(sales[[#This Row],[GrossProfit]]/sales[[#This Row],[SalesAfterDiscount]],0)</f>
        <v>0.16090124619698792</v>
      </c>
    </row>
    <row r="455" spans="1:17">
      <c r="A455" t="s">
        <v>1052</v>
      </c>
      <c r="B455" t="s">
        <v>1053</v>
      </c>
      <c r="C455" s="1">
        <v>46171</v>
      </c>
      <c r="D455" t="s">
        <v>130</v>
      </c>
      <c r="E455" t="s">
        <v>72</v>
      </c>
      <c r="F455" t="s">
        <v>231</v>
      </c>
      <c r="G455" t="s">
        <v>22</v>
      </c>
      <c r="H455">
        <v>4</v>
      </c>
      <c r="I455">
        <v>12166.11</v>
      </c>
      <c r="J455">
        <v>0.15</v>
      </c>
      <c r="K455">
        <v>7750</v>
      </c>
      <c r="L455">
        <f>sales[[#This Row],[Quantity]]*sales[[#This Row],[UnitPrice]]</f>
        <v>48664.44</v>
      </c>
      <c r="M455">
        <f>sales[[#This Row],[GrossSales]]*sales[[#This Row],[DiscountRate]]</f>
        <v>7299.6660000000002</v>
      </c>
      <c r="N455">
        <f>sales[[#This Row],[GrossSales]]-sales[[#This Row],[DiscountAmount]]</f>
        <v>41364.774000000005</v>
      </c>
      <c r="O455">
        <f>sales[[#This Row],[Quantity]]*sales[[#This Row],[UnitCostAtSale]]</f>
        <v>31000</v>
      </c>
      <c r="P455">
        <f>sales[[#This Row],[SalesAfterDiscount]]-sales[[#This Row],[CostOfGoodsSold]]</f>
        <v>10364.774000000005</v>
      </c>
      <c r="Q455">
        <f>IFERROR(sales[[#This Row],[GrossProfit]]/sales[[#This Row],[SalesAfterDiscount]],0)</f>
        <v>0.25057006234338436</v>
      </c>
    </row>
    <row r="456" spans="1:17">
      <c r="A456" t="s">
        <v>1054</v>
      </c>
      <c r="B456" t="s">
        <v>1055</v>
      </c>
      <c r="C456" s="1">
        <v>45743</v>
      </c>
      <c r="D456" t="s">
        <v>80</v>
      </c>
      <c r="E456" t="s">
        <v>46</v>
      </c>
      <c r="F456" t="s">
        <v>119</v>
      </c>
      <c r="G456" t="s">
        <v>22</v>
      </c>
      <c r="H456">
        <v>3</v>
      </c>
      <c r="I456">
        <v>19555.88</v>
      </c>
      <c r="J456">
        <v>0</v>
      </c>
      <c r="K456">
        <v>14200</v>
      </c>
      <c r="L456">
        <f>sales[[#This Row],[Quantity]]*sales[[#This Row],[UnitPrice]]</f>
        <v>58667.64</v>
      </c>
      <c r="M456">
        <f>sales[[#This Row],[GrossSales]]*sales[[#This Row],[DiscountRate]]</f>
        <v>0</v>
      </c>
      <c r="N456">
        <f>sales[[#This Row],[GrossSales]]-sales[[#This Row],[DiscountAmount]]</f>
        <v>58667.64</v>
      </c>
      <c r="O456">
        <f>sales[[#This Row],[Quantity]]*sales[[#This Row],[UnitCostAtSale]]</f>
        <v>42600</v>
      </c>
      <c r="P456">
        <f>sales[[#This Row],[SalesAfterDiscount]]-sales[[#This Row],[CostOfGoodsSold]]</f>
        <v>16067.64</v>
      </c>
      <c r="Q456">
        <f>IFERROR(sales[[#This Row],[GrossProfit]]/sales[[#This Row],[SalesAfterDiscount]],0)</f>
        <v>0.27387568342616131</v>
      </c>
    </row>
    <row r="457" spans="1:17">
      <c r="A457" t="s">
        <v>1056</v>
      </c>
      <c r="B457" t="s">
        <v>1057</v>
      </c>
      <c r="C457" s="1">
        <v>45992</v>
      </c>
      <c r="D457" t="s">
        <v>64</v>
      </c>
      <c r="E457" t="s">
        <v>14</v>
      </c>
      <c r="F457" t="s">
        <v>308</v>
      </c>
      <c r="G457" t="s">
        <v>16</v>
      </c>
      <c r="H457">
        <v>4</v>
      </c>
      <c r="I457">
        <v>2056.0100000000002</v>
      </c>
      <c r="J457">
        <v>0.2</v>
      </c>
      <c r="K457">
        <v>1350</v>
      </c>
      <c r="L457">
        <f>sales[[#This Row],[Quantity]]*sales[[#This Row],[UnitPrice]]</f>
        <v>8224.0400000000009</v>
      </c>
      <c r="M457">
        <f>sales[[#This Row],[GrossSales]]*sales[[#This Row],[DiscountRate]]</f>
        <v>1644.8080000000002</v>
      </c>
      <c r="N457">
        <f>sales[[#This Row],[GrossSales]]-sales[[#This Row],[DiscountAmount]]</f>
        <v>6579.2320000000009</v>
      </c>
      <c r="O457">
        <f>sales[[#This Row],[Quantity]]*sales[[#This Row],[UnitCostAtSale]]</f>
        <v>5400</v>
      </c>
      <c r="P457">
        <f>sales[[#This Row],[SalesAfterDiscount]]-sales[[#This Row],[CostOfGoodsSold]]</f>
        <v>1179.2320000000009</v>
      </c>
      <c r="Q457">
        <f>IFERROR(sales[[#This Row],[GrossProfit]]/sales[[#This Row],[SalesAfterDiscount]],0)</f>
        <v>0.17923550955491471</v>
      </c>
    </row>
    <row r="458" spans="1:17">
      <c r="A458" t="s">
        <v>1058</v>
      </c>
      <c r="B458" t="s">
        <v>1059</v>
      </c>
      <c r="C458" s="1">
        <v>45902</v>
      </c>
      <c r="D458" t="s">
        <v>87</v>
      </c>
      <c r="E458" t="s">
        <v>14</v>
      </c>
      <c r="F458" t="s">
        <v>137</v>
      </c>
      <c r="G458" t="s">
        <v>22</v>
      </c>
      <c r="H458">
        <v>1</v>
      </c>
      <c r="I458">
        <v>9337.2199999999993</v>
      </c>
      <c r="J458">
        <v>0.05</v>
      </c>
      <c r="K458">
        <v>6050</v>
      </c>
      <c r="L458">
        <f>sales[[#This Row],[Quantity]]*sales[[#This Row],[UnitPrice]]</f>
        <v>9337.2199999999993</v>
      </c>
      <c r="M458">
        <f>sales[[#This Row],[GrossSales]]*sales[[#This Row],[DiscountRate]]</f>
        <v>466.86099999999999</v>
      </c>
      <c r="N458">
        <f>sales[[#This Row],[GrossSales]]-sales[[#This Row],[DiscountAmount]]</f>
        <v>8870.3589999999986</v>
      </c>
      <c r="O458">
        <f>sales[[#This Row],[Quantity]]*sales[[#This Row],[UnitCostAtSale]]</f>
        <v>6050</v>
      </c>
      <c r="P458">
        <f>sales[[#This Row],[SalesAfterDiscount]]-sales[[#This Row],[CostOfGoodsSold]]</f>
        <v>2820.3589999999986</v>
      </c>
      <c r="Q458">
        <f>IFERROR(sales[[#This Row],[GrossProfit]]/sales[[#This Row],[SalesAfterDiscount]],0)</f>
        <v>0.31795319670827293</v>
      </c>
    </row>
    <row r="459" spans="1:17">
      <c r="A459" t="s">
        <v>1060</v>
      </c>
      <c r="B459" t="s">
        <v>1061</v>
      </c>
      <c r="C459" s="1">
        <v>45714</v>
      </c>
      <c r="D459" t="s">
        <v>112</v>
      </c>
      <c r="E459" t="s">
        <v>14</v>
      </c>
      <c r="F459" t="s">
        <v>103</v>
      </c>
      <c r="G459" t="s">
        <v>22</v>
      </c>
      <c r="H459">
        <v>3</v>
      </c>
      <c r="I459">
        <v>10868.14</v>
      </c>
      <c r="J459">
        <v>0.05</v>
      </c>
      <c r="K459">
        <v>8850</v>
      </c>
      <c r="L459">
        <f>sales[[#This Row],[Quantity]]*sales[[#This Row],[UnitPrice]]</f>
        <v>32604.42</v>
      </c>
      <c r="M459">
        <f>sales[[#This Row],[GrossSales]]*sales[[#This Row],[DiscountRate]]</f>
        <v>1630.221</v>
      </c>
      <c r="N459">
        <f>sales[[#This Row],[GrossSales]]-sales[[#This Row],[DiscountAmount]]</f>
        <v>30974.198999999997</v>
      </c>
      <c r="O459">
        <f>sales[[#This Row],[Quantity]]*sales[[#This Row],[UnitCostAtSale]]</f>
        <v>26550</v>
      </c>
      <c r="P459">
        <f>sales[[#This Row],[SalesAfterDiscount]]-sales[[#This Row],[CostOfGoodsSold]]</f>
        <v>4424.1989999999969</v>
      </c>
      <c r="Q459">
        <f>IFERROR(sales[[#This Row],[GrossProfit]]/sales[[#This Row],[SalesAfterDiscount]],0)</f>
        <v>0.14283497694322933</v>
      </c>
    </row>
    <row r="460" spans="1:17">
      <c r="A460" t="s">
        <v>1062</v>
      </c>
      <c r="B460" t="s">
        <v>1063</v>
      </c>
      <c r="C460" s="1">
        <v>45669</v>
      </c>
      <c r="D460" t="s">
        <v>175</v>
      </c>
      <c r="E460" t="s">
        <v>20</v>
      </c>
      <c r="F460" t="s">
        <v>96</v>
      </c>
      <c r="G460" t="s">
        <v>16</v>
      </c>
      <c r="H460">
        <v>2</v>
      </c>
      <c r="I460">
        <v>2403.0700000000002</v>
      </c>
      <c r="J460">
        <v>0.15</v>
      </c>
      <c r="K460">
        <v>2000</v>
      </c>
      <c r="L460">
        <f>sales[[#This Row],[Quantity]]*sales[[#This Row],[UnitPrice]]</f>
        <v>4806.1400000000003</v>
      </c>
      <c r="M460">
        <f>sales[[#This Row],[GrossSales]]*sales[[#This Row],[DiscountRate]]</f>
        <v>720.92100000000005</v>
      </c>
      <c r="N460">
        <f>sales[[#This Row],[GrossSales]]-sales[[#This Row],[DiscountAmount]]</f>
        <v>4085.2190000000001</v>
      </c>
      <c r="O460">
        <f>sales[[#This Row],[Quantity]]*sales[[#This Row],[UnitCostAtSale]]</f>
        <v>4000</v>
      </c>
      <c r="P460">
        <f>sales[[#This Row],[SalesAfterDiscount]]-sales[[#This Row],[CostOfGoodsSold]]</f>
        <v>85.219000000000051</v>
      </c>
      <c r="Q460">
        <f>IFERROR(sales[[#This Row],[GrossProfit]]/sales[[#This Row],[SalesAfterDiscount]],0)</f>
        <v>2.0860325970284591E-2</v>
      </c>
    </row>
    <row r="461" spans="1:17">
      <c r="A461" t="s">
        <v>1064</v>
      </c>
      <c r="B461" t="s">
        <v>1065</v>
      </c>
      <c r="C461" s="1">
        <v>46038</v>
      </c>
      <c r="D461" t="s">
        <v>313</v>
      </c>
      <c r="E461" t="s">
        <v>14</v>
      </c>
      <c r="F461" t="s">
        <v>127</v>
      </c>
      <c r="G461" t="s">
        <v>22</v>
      </c>
      <c r="H461">
        <v>2</v>
      </c>
      <c r="I461">
        <v>3335.18</v>
      </c>
      <c r="J461">
        <v>0.1</v>
      </c>
      <c r="K461">
        <v>2600</v>
      </c>
      <c r="L461">
        <f>sales[[#This Row],[Quantity]]*sales[[#This Row],[UnitPrice]]</f>
        <v>6670.36</v>
      </c>
      <c r="M461">
        <f>sales[[#This Row],[GrossSales]]*sales[[#This Row],[DiscountRate]]</f>
        <v>667.03600000000006</v>
      </c>
      <c r="N461">
        <f>sales[[#This Row],[GrossSales]]-sales[[#This Row],[DiscountAmount]]</f>
        <v>6003.3239999999996</v>
      </c>
      <c r="O461">
        <f>sales[[#This Row],[Quantity]]*sales[[#This Row],[UnitCostAtSale]]</f>
        <v>5200</v>
      </c>
      <c r="P461">
        <f>sales[[#This Row],[SalesAfterDiscount]]-sales[[#This Row],[CostOfGoodsSold]]</f>
        <v>803.32399999999961</v>
      </c>
      <c r="Q461">
        <f>IFERROR(sales[[#This Row],[GrossProfit]]/sales[[#This Row],[SalesAfterDiscount]],0)</f>
        <v>0.13381320082007894</v>
      </c>
    </row>
    <row r="462" spans="1:17">
      <c r="A462" t="s">
        <v>1066</v>
      </c>
      <c r="B462" t="s">
        <v>1067</v>
      </c>
      <c r="C462" s="1">
        <v>46097</v>
      </c>
      <c r="D462" t="s">
        <v>286</v>
      </c>
      <c r="E462" t="s">
        <v>14</v>
      </c>
      <c r="F462" t="s">
        <v>100</v>
      </c>
      <c r="G462" t="s">
        <v>22</v>
      </c>
      <c r="H462">
        <v>3</v>
      </c>
      <c r="I462">
        <v>614.66</v>
      </c>
      <c r="J462">
        <v>0.2</v>
      </c>
      <c r="K462">
        <v>400</v>
      </c>
      <c r="L462">
        <f>sales[[#This Row],[Quantity]]*sales[[#This Row],[UnitPrice]]</f>
        <v>1843.98</v>
      </c>
      <c r="M462">
        <f>sales[[#This Row],[GrossSales]]*sales[[#This Row],[DiscountRate]]</f>
        <v>368.79600000000005</v>
      </c>
      <c r="N462">
        <f>sales[[#This Row],[GrossSales]]-sales[[#This Row],[DiscountAmount]]</f>
        <v>1475.184</v>
      </c>
      <c r="O462">
        <f>sales[[#This Row],[Quantity]]*sales[[#This Row],[UnitCostAtSale]]</f>
        <v>1200</v>
      </c>
      <c r="P462">
        <f>sales[[#This Row],[SalesAfterDiscount]]-sales[[#This Row],[CostOfGoodsSold]]</f>
        <v>275.18399999999997</v>
      </c>
      <c r="Q462">
        <f>IFERROR(sales[[#This Row],[GrossProfit]]/sales[[#This Row],[SalesAfterDiscount]],0)</f>
        <v>0.18654215338561153</v>
      </c>
    </row>
    <row r="463" spans="1:17">
      <c r="A463" t="s">
        <v>1068</v>
      </c>
      <c r="B463" t="s">
        <v>1069</v>
      </c>
      <c r="C463" s="1">
        <v>46124</v>
      </c>
      <c r="D463" t="s">
        <v>19</v>
      </c>
      <c r="E463" t="s">
        <v>14</v>
      </c>
      <c r="F463" t="s">
        <v>428</v>
      </c>
      <c r="G463" t="s">
        <v>22</v>
      </c>
      <c r="H463">
        <v>5</v>
      </c>
      <c r="I463">
        <v>12193.29</v>
      </c>
      <c r="J463">
        <v>0.1</v>
      </c>
      <c r="K463">
        <v>9950</v>
      </c>
      <c r="L463">
        <f>sales[[#This Row],[Quantity]]*sales[[#This Row],[UnitPrice]]</f>
        <v>60966.450000000004</v>
      </c>
      <c r="M463">
        <f>sales[[#This Row],[GrossSales]]*sales[[#This Row],[DiscountRate]]</f>
        <v>6096.6450000000004</v>
      </c>
      <c r="N463">
        <f>sales[[#This Row],[GrossSales]]-sales[[#This Row],[DiscountAmount]]</f>
        <v>54869.805000000008</v>
      </c>
      <c r="O463">
        <f>sales[[#This Row],[Quantity]]*sales[[#This Row],[UnitCostAtSale]]</f>
        <v>49750</v>
      </c>
      <c r="P463">
        <f>sales[[#This Row],[SalesAfterDiscount]]-sales[[#This Row],[CostOfGoodsSold]]</f>
        <v>5119.8050000000076</v>
      </c>
      <c r="Q463">
        <f>IFERROR(sales[[#This Row],[GrossProfit]]/sales[[#This Row],[SalesAfterDiscount]],0)</f>
        <v>9.3308241208438905E-2</v>
      </c>
    </row>
    <row r="464" spans="1:17">
      <c r="A464" t="s">
        <v>1070</v>
      </c>
      <c r="B464" t="s">
        <v>1071</v>
      </c>
      <c r="C464" s="1">
        <v>45819</v>
      </c>
      <c r="D464" t="s">
        <v>13</v>
      </c>
      <c r="E464" t="s">
        <v>46</v>
      </c>
      <c r="F464" t="s">
        <v>57</v>
      </c>
      <c r="G464" t="s">
        <v>22</v>
      </c>
      <c r="H464">
        <v>3</v>
      </c>
      <c r="I464">
        <v>6484.94</v>
      </c>
      <c r="J464">
        <v>0</v>
      </c>
      <c r="K464">
        <v>4300</v>
      </c>
      <c r="L464">
        <f>sales[[#This Row],[Quantity]]*sales[[#This Row],[UnitPrice]]</f>
        <v>19454.82</v>
      </c>
      <c r="M464">
        <f>sales[[#This Row],[GrossSales]]*sales[[#This Row],[DiscountRate]]</f>
        <v>0</v>
      </c>
      <c r="N464">
        <f>sales[[#This Row],[GrossSales]]-sales[[#This Row],[DiscountAmount]]</f>
        <v>19454.82</v>
      </c>
      <c r="O464">
        <f>sales[[#This Row],[Quantity]]*sales[[#This Row],[UnitCostAtSale]]</f>
        <v>12900</v>
      </c>
      <c r="P464">
        <f>sales[[#This Row],[SalesAfterDiscount]]-sales[[#This Row],[CostOfGoodsSold]]</f>
        <v>6554.82</v>
      </c>
      <c r="Q464">
        <f>IFERROR(sales[[#This Row],[GrossProfit]]/sales[[#This Row],[SalesAfterDiscount]],0)</f>
        <v>0.3369252452605575</v>
      </c>
    </row>
    <row r="465" spans="1:17">
      <c r="A465" t="s">
        <v>1072</v>
      </c>
      <c r="B465" t="s">
        <v>1073</v>
      </c>
      <c r="C465" s="1">
        <v>46179</v>
      </c>
      <c r="D465" t="s">
        <v>25</v>
      </c>
      <c r="E465" t="s">
        <v>14</v>
      </c>
      <c r="F465" t="s">
        <v>92</v>
      </c>
      <c r="G465" t="s">
        <v>22</v>
      </c>
      <c r="H465">
        <v>1</v>
      </c>
      <c r="I465">
        <v>18592.419999999998</v>
      </c>
      <c r="J465">
        <v>0</v>
      </c>
      <c r="K465">
        <v>14600</v>
      </c>
      <c r="L465">
        <f>sales[[#This Row],[Quantity]]*sales[[#This Row],[UnitPrice]]</f>
        <v>18592.419999999998</v>
      </c>
      <c r="M465">
        <f>sales[[#This Row],[GrossSales]]*sales[[#This Row],[DiscountRate]]</f>
        <v>0</v>
      </c>
      <c r="N465">
        <f>sales[[#This Row],[GrossSales]]-sales[[#This Row],[DiscountAmount]]</f>
        <v>18592.419999999998</v>
      </c>
      <c r="O465">
        <f>sales[[#This Row],[Quantity]]*sales[[#This Row],[UnitCostAtSale]]</f>
        <v>14600</v>
      </c>
      <c r="P465">
        <f>sales[[#This Row],[SalesAfterDiscount]]-sales[[#This Row],[CostOfGoodsSold]]</f>
        <v>3992.4199999999983</v>
      </c>
      <c r="Q465">
        <f>IFERROR(sales[[#This Row],[GrossProfit]]/sales[[#This Row],[SalesAfterDiscount]],0)</f>
        <v>0.21473374633318301</v>
      </c>
    </row>
    <row r="466" spans="1:17">
      <c r="A466" t="s">
        <v>1074</v>
      </c>
      <c r="B466" t="s">
        <v>1075</v>
      </c>
      <c r="C466" s="1">
        <v>46030</v>
      </c>
      <c r="D466" t="s">
        <v>19</v>
      </c>
      <c r="E466" t="s">
        <v>50</v>
      </c>
      <c r="F466" t="s">
        <v>317</v>
      </c>
      <c r="G466" t="s">
        <v>16</v>
      </c>
      <c r="H466">
        <v>4</v>
      </c>
      <c r="I466">
        <v>12193.29</v>
      </c>
      <c r="J466">
        <v>0.05</v>
      </c>
      <c r="K466">
        <v>9950</v>
      </c>
      <c r="L466">
        <f>sales[[#This Row],[Quantity]]*sales[[#This Row],[UnitPrice]]</f>
        <v>48773.16</v>
      </c>
      <c r="M466">
        <f>sales[[#This Row],[GrossSales]]*sales[[#This Row],[DiscountRate]]</f>
        <v>2438.6580000000004</v>
      </c>
      <c r="N466">
        <f>sales[[#This Row],[GrossSales]]-sales[[#This Row],[DiscountAmount]]</f>
        <v>46334.502</v>
      </c>
      <c r="O466">
        <f>sales[[#This Row],[Quantity]]*sales[[#This Row],[UnitCostAtSale]]</f>
        <v>39800</v>
      </c>
      <c r="P466">
        <f>sales[[#This Row],[SalesAfterDiscount]]-sales[[#This Row],[CostOfGoodsSold]]</f>
        <v>6534.5020000000004</v>
      </c>
      <c r="Q466">
        <f>IFERROR(sales[[#This Row],[GrossProfit]]/sales[[#This Row],[SalesAfterDiscount]],0)</f>
        <v>0.14102886009220517</v>
      </c>
    </row>
    <row r="467" spans="1:17">
      <c r="A467" t="s">
        <v>1076</v>
      </c>
      <c r="B467" t="s">
        <v>1077</v>
      </c>
      <c r="C467" s="1">
        <v>45987</v>
      </c>
      <c r="D467" t="s">
        <v>25</v>
      </c>
      <c r="E467" t="s">
        <v>20</v>
      </c>
      <c r="F467" t="s">
        <v>266</v>
      </c>
      <c r="G467" t="s">
        <v>22</v>
      </c>
      <c r="H467">
        <v>2</v>
      </c>
      <c r="I467">
        <v>18592.419999999998</v>
      </c>
      <c r="J467">
        <v>0.15</v>
      </c>
      <c r="K467">
        <v>14600</v>
      </c>
      <c r="L467">
        <f>sales[[#This Row],[Quantity]]*sales[[#This Row],[UnitPrice]]</f>
        <v>37184.839999999997</v>
      </c>
      <c r="M467">
        <f>sales[[#This Row],[GrossSales]]*sales[[#This Row],[DiscountRate]]</f>
        <v>5577.7259999999997</v>
      </c>
      <c r="N467">
        <f>sales[[#This Row],[GrossSales]]-sales[[#This Row],[DiscountAmount]]</f>
        <v>31607.113999999998</v>
      </c>
      <c r="O467">
        <f>sales[[#This Row],[Quantity]]*sales[[#This Row],[UnitCostAtSale]]</f>
        <v>29200</v>
      </c>
      <c r="P467">
        <f>sales[[#This Row],[SalesAfterDiscount]]-sales[[#This Row],[CostOfGoodsSold]]</f>
        <v>2407.1139999999978</v>
      </c>
      <c r="Q467">
        <f>IFERROR(sales[[#This Row],[GrossProfit]]/sales[[#This Row],[SalesAfterDiscount]],0)</f>
        <v>7.6157348627274163E-2</v>
      </c>
    </row>
    <row r="468" spans="1:17">
      <c r="A468" t="s">
        <v>1078</v>
      </c>
      <c r="B468" t="s">
        <v>1079</v>
      </c>
      <c r="C468" s="1">
        <v>46039</v>
      </c>
      <c r="D468" t="s">
        <v>41</v>
      </c>
      <c r="E468" t="s">
        <v>14</v>
      </c>
      <c r="F468" t="s">
        <v>196</v>
      </c>
      <c r="G468" t="s">
        <v>22</v>
      </c>
      <c r="H468">
        <v>1</v>
      </c>
      <c r="I468">
        <v>17279.419999999998</v>
      </c>
      <c r="J468">
        <v>0.2</v>
      </c>
      <c r="K468">
        <v>13950</v>
      </c>
      <c r="L468">
        <f>sales[[#This Row],[Quantity]]*sales[[#This Row],[UnitPrice]]</f>
        <v>17279.419999999998</v>
      </c>
      <c r="M468">
        <f>sales[[#This Row],[GrossSales]]*sales[[#This Row],[DiscountRate]]</f>
        <v>3455.884</v>
      </c>
      <c r="N468">
        <f>sales[[#This Row],[GrossSales]]-sales[[#This Row],[DiscountAmount]]</f>
        <v>13823.535999999998</v>
      </c>
      <c r="O468">
        <f>sales[[#This Row],[Quantity]]*sales[[#This Row],[UnitCostAtSale]]</f>
        <v>13950</v>
      </c>
      <c r="P468">
        <f>sales[[#This Row],[SalesAfterDiscount]]-sales[[#This Row],[CostOfGoodsSold]]</f>
        <v>-126.46400000000176</v>
      </c>
      <c r="Q468">
        <f>IFERROR(sales[[#This Row],[GrossProfit]]/sales[[#This Row],[SalesAfterDiscount]],0)</f>
        <v>-9.1484552143533873E-3</v>
      </c>
    </row>
    <row r="469" spans="1:17">
      <c r="A469" t="s">
        <v>1080</v>
      </c>
      <c r="B469" t="s">
        <v>1081</v>
      </c>
      <c r="C469" s="1">
        <v>46186</v>
      </c>
      <c r="D469" t="s">
        <v>416</v>
      </c>
      <c r="E469" t="s">
        <v>14</v>
      </c>
      <c r="F469" t="s">
        <v>199</v>
      </c>
      <c r="G469" t="s">
        <v>16</v>
      </c>
      <c r="H469">
        <v>1</v>
      </c>
      <c r="I469">
        <v>3804.25</v>
      </c>
      <c r="J469">
        <v>0.15</v>
      </c>
      <c r="K469">
        <v>2800</v>
      </c>
      <c r="L469">
        <f>sales[[#This Row],[Quantity]]*sales[[#This Row],[UnitPrice]]</f>
        <v>3804.25</v>
      </c>
      <c r="M469">
        <f>sales[[#This Row],[GrossSales]]*sales[[#This Row],[DiscountRate]]</f>
        <v>570.63749999999993</v>
      </c>
      <c r="N469">
        <f>sales[[#This Row],[GrossSales]]-sales[[#This Row],[DiscountAmount]]</f>
        <v>3233.6125000000002</v>
      </c>
      <c r="O469">
        <f>sales[[#This Row],[Quantity]]*sales[[#This Row],[UnitCostAtSale]]</f>
        <v>2800</v>
      </c>
      <c r="P469">
        <f>sales[[#This Row],[SalesAfterDiscount]]-sales[[#This Row],[CostOfGoodsSold]]</f>
        <v>433.61250000000018</v>
      </c>
      <c r="Q469">
        <f>IFERROR(sales[[#This Row],[GrossProfit]]/sales[[#This Row],[SalesAfterDiscount]],0)</f>
        <v>0.13409538094004775</v>
      </c>
    </row>
    <row r="470" spans="1:17">
      <c r="A470" t="s">
        <v>1082</v>
      </c>
      <c r="B470" t="s">
        <v>1083</v>
      </c>
      <c r="C470" s="1">
        <v>45976</v>
      </c>
      <c r="D470" t="s">
        <v>202</v>
      </c>
      <c r="E470" t="s">
        <v>46</v>
      </c>
      <c r="F470" t="s">
        <v>152</v>
      </c>
      <c r="G470" t="s">
        <v>22</v>
      </c>
      <c r="H470">
        <v>3</v>
      </c>
      <c r="I470">
        <v>3559.5</v>
      </c>
      <c r="J470">
        <v>0</v>
      </c>
      <c r="K470">
        <v>2250</v>
      </c>
      <c r="L470">
        <f>sales[[#This Row],[Quantity]]*sales[[#This Row],[UnitPrice]]</f>
        <v>10678.5</v>
      </c>
      <c r="M470">
        <f>sales[[#This Row],[GrossSales]]*sales[[#This Row],[DiscountRate]]</f>
        <v>0</v>
      </c>
      <c r="N470">
        <f>sales[[#This Row],[GrossSales]]-sales[[#This Row],[DiscountAmount]]</f>
        <v>10678.5</v>
      </c>
      <c r="O470">
        <f>sales[[#This Row],[Quantity]]*sales[[#This Row],[UnitCostAtSale]]</f>
        <v>6750</v>
      </c>
      <c r="P470">
        <f>sales[[#This Row],[SalesAfterDiscount]]-sales[[#This Row],[CostOfGoodsSold]]</f>
        <v>3928.5</v>
      </c>
      <c r="Q470">
        <f>IFERROR(sales[[#This Row],[GrossProfit]]/sales[[#This Row],[SalesAfterDiscount]],0)</f>
        <v>0.36788874841972186</v>
      </c>
    </row>
    <row r="471" spans="1:17">
      <c r="A471" t="s">
        <v>1084</v>
      </c>
      <c r="B471" t="s">
        <v>1085</v>
      </c>
      <c r="C471" s="1">
        <v>45863</v>
      </c>
      <c r="D471" t="s">
        <v>13</v>
      </c>
      <c r="E471" t="s">
        <v>20</v>
      </c>
      <c r="F471" t="s">
        <v>329</v>
      </c>
      <c r="G471" t="s">
        <v>22</v>
      </c>
      <c r="H471">
        <v>3</v>
      </c>
      <c r="I471">
        <v>6484.94</v>
      </c>
      <c r="J471">
        <v>0.2</v>
      </c>
      <c r="K471">
        <v>4300</v>
      </c>
      <c r="L471">
        <f>sales[[#This Row],[Quantity]]*sales[[#This Row],[UnitPrice]]</f>
        <v>19454.82</v>
      </c>
      <c r="M471">
        <f>sales[[#This Row],[GrossSales]]*sales[[#This Row],[DiscountRate]]</f>
        <v>3890.9639999999999</v>
      </c>
      <c r="N471">
        <f>sales[[#This Row],[GrossSales]]-sales[[#This Row],[DiscountAmount]]</f>
        <v>15563.856</v>
      </c>
      <c r="O471">
        <f>sales[[#This Row],[Quantity]]*sales[[#This Row],[UnitCostAtSale]]</f>
        <v>12900</v>
      </c>
      <c r="P471">
        <f>sales[[#This Row],[SalesAfterDiscount]]-sales[[#This Row],[CostOfGoodsSold]]</f>
        <v>2663.8559999999998</v>
      </c>
      <c r="Q471">
        <f>IFERROR(sales[[#This Row],[GrossProfit]]/sales[[#This Row],[SalesAfterDiscount]],0)</f>
        <v>0.17115655657569692</v>
      </c>
    </row>
    <row r="472" spans="1:17">
      <c r="A472" t="s">
        <v>1086</v>
      </c>
      <c r="B472" t="s">
        <v>1087</v>
      </c>
      <c r="C472" s="1">
        <v>46035</v>
      </c>
      <c r="D472" t="s">
        <v>112</v>
      </c>
      <c r="E472" t="s">
        <v>50</v>
      </c>
      <c r="F472" t="s">
        <v>471</v>
      </c>
      <c r="G472" t="s">
        <v>22</v>
      </c>
      <c r="H472">
        <v>5</v>
      </c>
      <c r="I472">
        <v>10868.14</v>
      </c>
      <c r="J472">
        <v>0.15</v>
      </c>
      <c r="K472">
        <v>8850</v>
      </c>
      <c r="L472">
        <f>sales[[#This Row],[Quantity]]*sales[[#This Row],[UnitPrice]]</f>
        <v>54340.7</v>
      </c>
      <c r="M472">
        <f>sales[[#This Row],[GrossSales]]*sales[[#This Row],[DiscountRate]]</f>
        <v>8151.1049999999996</v>
      </c>
      <c r="N472">
        <f>sales[[#This Row],[GrossSales]]-sales[[#This Row],[DiscountAmount]]</f>
        <v>46189.595000000001</v>
      </c>
      <c r="O472">
        <f>sales[[#This Row],[Quantity]]*sales[[#This Row],[UnitCostAtSale]]</f>
        <v>44250</v>
      </c>
      <c r="P472">
        <f>sales[[#This Row],[SalesAfterDiscount]]-sales[[#This Row],[CostOfGoodsSold]]</f>
        <v>1939.5950000000012</v>
      </c>
      <c r="Q472">
        <f>IFERROR(sales[[#This Row],[GrossProfit]]/sales[[#This Row],[SalesAfterDiscount]],0)</f>
        <v>4.1992033054197617E-2</v>
      </c>
    </row>
    <row r="473" spans="1:17">
      <c r="A473" t="s">
        <v>1088</v>
      </c>
      <c r="B473" t="s">
        <v>1089</v>
      </c>
      <c r="C473" s="1">
        <v>45664</v>
      </c>
      <c r="D473" t="s">
        <v>29</v>
      </c>
      <c r="E473" t="s">
        <v>50</v>
      </c>
      <c r="F473" t="s">
        <v>134</v>
      </c>
      <c r="G473" t="s">
        <v>16</v>
      </c>
      <c r="H473">
        <v>4</v>
      </c>
      <c r="I473">
        <v>13204.06</v>
      </c>
      <c r="J473">
        <v>0</v>
      </c>
      <c r="K473">
        <v>11050</v>
      </c>
      <c r="L473">
        <f>sales[[#This Row],[Quantity]]*sales[[#This Row],[UnitPrice]]</f>
        <v>52816.24</v>
      </c>
      <c r="M473">
        <f>sales[[#This Row],[GrossSales]]*sales[[#This Row],[DiscountRate]]</f>
        <v>0</v>
      </c>
      <c r="N473">
        <f>sales[[#This Row],[GrossSales]]-sales[[#This Row],[DiscountAmount]]</f>
        <v>52816.24</v>
      </c>
      <c r="O473">
        <f>sales[[#This Row],[Quantity]]*sales[[#This Row],[UnitCostAtSale]]</f>
        <v>44200</v>
      </c>
      <c r="P473">
        <f>sales[[#This Row],[SalesAfterDiscount]]-sales[[#This Row],[CostOfGoodsSold]]</f>
        <v>8616.239999999998</v>
      </c>
      <c r="Q473">
        <f>IFERROR(sales[[#This Row],[GrossProfit]]/sales[[#This Row],[SalesAfterDiscount]],0)</f>
        <v>0.1631361869000898</v>
      </c>
    </row>
    <row r="474" spans="1:17">
      <c r="A474" t="s">
        <v>1090</v>
      </c>
      <c r="B474" t="s">
        <v>1091</v>
      </c>
      <c r="C474" s="1">
        <v>45667</v>
      </c>
      <c r="D474" t="s">
        <v>130</v>
      </c>
      <c r="E474" t="s">
        <v>72</v>
      </c>
      <c r="F474" t="s">
        <v>329</v>
      </c>
      <c r="G474" t="s">
        <v>16</v>
      </c>
      <c r="H474">
        <v>3</v>
      </c>
      <c r="I474">
        <v>12166.11</v>
      </c>
      <c r="J474">
        <v>0</v>
      </c>
      <c r="K474">
        <v>7750</v>
      </c>
      <c r="L474">
        <f>sales[[#This Row],[Quantity]]*sales[[#This Row],[UnitPrice]]</f>
        <v>36498.33</v>
      </c>
      <c r="M474">
        <f>sales[[#This Row],[GrossSales]]*sales[[#This Row],[DiscountRate]]</f>
        <v>0</v>
      </c>
      <c r="N474">
        <f>sales[[#This Row],[GrossSales]]-sales[[#This Row],[DiscountAmount]]</f>
        <v>36498.33</v>
      </c>
      <c r="O474">
        <f>sales[[#This Row],[Quantity]]*sales[[#This Row],[UnitCostAtSale]]</f>
        <v>23250</v>
      </c>
      <c r="P474">
        <f>sales[[#This Row],[SalesAfterDiscount]]-sales[[#This Row],[CostOfGoodsSold]]</f>
        <v>13248.330000000002</v>
      </c>
      <c r="Q474">
        <f>IFERROR(sales[[#This Row],[GrossProfit]]/sales[[#This Row],[SalesAfterDiscount]],0)</f>
        <v>0.36298455299187665</v>
      </c>
    </row>
    <row r="475" spans="1:17">
      <c r="A475" t="s">
        <v>1092</v>
      </c>
      <c r="B475" t="s">
        <v>1093</v>
      </c>
      <c r="C475" s="1">
        <v>45868</v>
      </c>
      <c r="D475" t="s">
        <v>37</v>
      </c>
      <c r="E475" t="s">
        <v>72</v>
      </c>
      <c r="F475" t="s">
        <v>500</v>
      </c>
      <c r="G475" t="s">
        <v>22</v>
      </c>
      <c r="H475">
        <v>5</v>
      </c>
      <c r="I475">
        <v>17336.23</v>
      </c>
      <c r="J475">
        <v>0.05</v>
      </c>
      <c r="K475">
        <v>14200</v>
      </c>
      <c r="L475">
        <f>sales[[#This Row],[Quantity]]*sales[[#This Row],[UnitPrice]]</f>
        <v>86681.15</v>
      </c>
      <c r="M475">
        <f>sales[[#This Row],[GrossSales]]*sales[[#This Row],[DiscountRate]]</f>
        <v>4334.0574999999999</v>
      </c>
      <c r="N475">
        <f>sales[[#This Row],[GrossSales]]-sales[[#This Row],[DiscountAmount]]</f>
        <v>82347.092499999999</v>
      </c>
      <c r="O475">
        <f>sales[[#This Row],[Quantity]]*sales[[#This Row],[UnitCostAtSale]]</f>
        <v>71000</v>
      </c>
      <c r="P475">
        <f>sales[[#This Row],[SalesAfterDiscount]]-sales[[#This Row],[CostOfGoodsSold]]</f>
        <v>11347.092499999999</v>
      </c>
      <c r="Q475">
        <f>IFERROR(sales[[#This Row],[GrossProfit]]/sales[[#This Row],[SalesAfterDiscount]],0)</f>
        <v>0.13779590943056064</v>
      </c>
    </row>
    <row r="476" spans="1:17">
      <c r="A476" t="s">
        <v>1094</v>
      </c>
      <c r="B476" t="s">
        <v>1095</v>
      </c>
      <c r="C476" s="1">
        <v>45944</v>
      </c>
      <c r="D476" t="s">
        <v>29</v>
      </c>
      <c r="E476" t="s">
        <v>50</v>
      </c>
      <c r="F476" t="s">
        <v>96</v>
      </c>
      <c r="G476" t="s">
        <v>16</v>
      </c>
      <c r="H476">
        <v>1</v>
      </c>
      <c r="I476">
        <v>13204.06</v>
      </c>
      <c r="J476">
        <v>0</v>
      </c>
      <c r="K476">
        <v>11050</v>
      </c>
      <c r="L476">
        <f>sales[[#This Row],[Quantity]]*sales[[#This Row],[UnitPrice]]</f>
        <v>13204.06</v>
      </c>
      <c r="M476">
        <f>sales[[#This Row],[GrossSales]]*sales[[#This Row],[DiscountRate]]</f>
        <v>0</v>
      </c>
      <c r="N476">
        <f>sales[[#This Row],[GrossSales]]-sales[[#This Row],[DiscountAmount]]</f>
        <v>13204.06</v>
      </c>
      <c r="O476">
        <f>sales[[#This Row],[Quantity]]*sales[[#This Row],[UnitCostAtSale]]</f>
        <v>11050</v>
      </c>
      <c r="P476">
        <f>sales[[#This Row],[SalesAfterDiscount]]-sales[[#This Row],[CostOfGoodsSold]]</f>
        <v>2154.0599999999995</v>
      </c>
      <c r="Q476">
        <f>IFERROR(sales[[#This Row],[GrossProfit]]/sales[[#This Row],[SalesAfterDiscount]],0)</f>
        <v>0.1631361869000898</v>
      </c>
    </row>
    <row r="477" spans="1:17">
      <c r="A477" t="s">
        <v>1096</v>
      </c>
      <c r="B477" t="s">
        <v>1097</v>
      </c>
      <c r="C477" s="1">
        <v>46039</v>
      </c>
      <c r="D477" t="s">
        <v>175</v>
      </c>
      <c r="E477" t="s">
        <v>46</v>
      </c>
      <c r="F477" t="s">
        <v>54</v>
      </c>
      <c r="G477" t="s">
        <v>22</v>
      </c>
      <c r="H477">
        <v>4</v>
      </c>
      <c r="I477">
        <v>2403.0700000000002</v>
      </c>
      <c r="J477">
        <v>0</v>
      </c>
      <c r="K477">
        <v>2000</v>
      </c>
      <c r="L477">
        <f>sales[[#This Row],[Quantity]]*sales[[#This Row],[UnitPrice]]</f>
        <v>9612.2800000000007</v>
      </c>
      <c r="M477">
        <f>sales[[#This Row],[GrossSales]]*sales[[#This Row],[DiscountRate]]</f>
        <v>0</v>
      </c>
      <c r="N477">
        <f>sales[[#This Row],[GrossSales]]-sales[[#This Row],[DiscountAmount]]</f>
        <v>9612.2800000000007</v>
      </c>
      <c r="O477">
        <f>sales[[#This Row],[Quantity]]*sales[[#This Row],[UnitCostAtSale]]</f>
        <v>8000</v>
      </c>
      <c r="P477">
        <f>sales[[#This Row],[SalesAfterDiscount]]-sales[[#This Row],[CostOfGoodsSold]]</f>
        <v>1612.2800000000007</v>
      </c>
      <c r="Q477">
        <f>IFERROR(sales[[#This Row],[GrossProfit]]/sales[[#This Row],[SalesAfterDiscount]],0)</f>
        <v>0.16773127707474195</v>
      </c>
    </row>
    <row r="478" spans="1:17">
      <c r="A478" t="s">
        <v>1098</v>
      </c>
      <c r="B478" t="s">
        <v>1099</v>
      </c>
      <c r="C478" s="1">
        <v>46061</v>
      </c>
      <c r="D478" t="s">
        <v>130</v>
      </c>
      <c r="E478" t="s">
        <v>46</v>
      </c>
      <c r="F478" t="s">
        <v>791</v>
      </c>
      <c r="G478" t="s">
        <v>16</v>
      </c>
      <c r="H478">
        <v>1</v>
      </c>
      <c r="I478">
        <v>12166.11</v>
      </c>
      <c r="J478">
        <v>0.2</v>
      </c>
      <c r="K478">
        <v>7750</v>
      </c>
      <c r="L478">
        <f>sales[[#This Row],[Quantity]]*sales[[#This Row],[UnitPrice]]</f>
        <v>12166.11</v>
      </c>
      <c r="M478">
        <f>sales[[#This Row],[GrossSales]]*sales[[#This Row],[DiscountRate]]</f>
        <v>2433.2220000000002</v>
      </c>
      <c r="N478">
        <f>sales[[#This Row],[GrossSales]]-sales[[#This Row],[DiscountAmount]]</f>
        <v>9732.8880000000008</v>
      </c>
      <c r="O478">
        <f>sales[[#This Row],[Quantity]]*sales[[#This Row],[UnitCostAtSale]]</f>
        <v>7750</v>
      </c>
      <c r="P478">
        <f>sales[[#This Row],[SalesAfterDiscount]]-sales[[#This Row],[CostOfGoodsSold]]</f>
        <v>1982.8880000000008</v>
      </c>
      <c r="Q478">
        <f>IFERROR(sales[[#This Row],[GrossProfit]]/sales[[#This Row],[SalesAfterDiscount]],0)</f>
        <v>0.20373069123984583</v>
      </c>
    </row>
    <row r="479" spans="1:17">
      <c r="A479" t="s">
        <v>1100</v>
      </c>
      <c r="B479" t="s">
        <v>1101</v>
      </c>
      <c r="C479" s="1">
        <v>45791</v>
      </c>
      <c r="D479" t="s">
        <v>49</v>
      </c>
      <c r="E479" t="s">
        <v>20</v>
      </c>
      <c r="F479" t="s">
        <v>169</v>
      </c>
      <c r="G479" t="s">
        <v>16</v>
      </c>
      <c r="H479">
        <v>2</v>
      </c>
      <c r="I479">
        <v>13787.88</v>
      </c>
      <c r="J479">
        <v>0.1</v>
      </c>
      <c r="K479">
        <v>9500</v>
      </c>
      <c r="L479">
        <f>sales[[#This Row],[Quantity]]*sales[[#This Row],[UnitPrice]]</f>
        <v>27575.759999999998</v>
      </c>
      <c r="M479">
        <f>sales[[#This Row],[GrossSales]]*sales[[#This Row],[DiscountRate]]</f>
        <v>2757.576</v>
      </c>
      <c r="N479">
        <f>sales[[#This Row],[GrossSales]]-sales[[#This Row],[DiscountAmount]]</f>
        <v>24818.183999999997</v>
      </c>
      <c r="O479">
        <f>sales[[#This Row],[Quantity]]*sales[[#This Row],[UnitCostAtSale]]</f>
        <v>19000</v>
      </c>
      <c r="P479">
        <f>sales[[#This Row],[SalesAfterDiscount]]-sales[[#This Row],[CostOfGoodsSold]]</f>
        <v>5818.1839999999975</v>
      </c>
      <c r="Q479">
        <f>IFERROR(sales[[#This Row],[GrossProfit]]/sales[[#This Row],[SalesAfterDiscount]],0)</f>
        <v>0.23443230173488916</v>
      </c>
    </row>
    <row r="480" spans="1:17">
      <c r="A480" t="s">
        <v>1102</v>
      </c>
      <c r="B480" t="s">
        <v>1103</v>
      </c>
      <c r="C480" s="1">
        <v>45992</v>
      </c>
      <c r="D480" t="s">
        <v>175</v>
      </c>
      <c r="E480" t="s">
        <v>20</v>
      </c>
      <c r="F480" t="s">
        <v>42</v>
      </c>
      <c r="G480" t="s">
        <v>22</v>
      </c>
      <c r="H480">
        <v>3</v>
      </c>
      <c r="I480">
        <v>2403.0700000000002</v>
      </c>
      <c r="J480">
        <v>0.15</v>
      </c>
      <c r="K480">
        <v>2000</v>
      </c>
      <c r="L480">
        <f>sales[[#This Row],[Quantity]]*sales[[#This Row],[UnitPrice]]</f>
        <v>7209.2100000000009</v>
      </c>
      <c r="M480">
        <f>sales[[#This Row],[GrossSales]]*sales[[#This Row],[DiscountRate]]</f>
        <v>1081.3815000000002</v>
      </c>
      <c r="N480">
        <f>sales[[#This Row],[GrossSales]]-sales[[#This Row],[DiscountAmount]]</f>
        <v>6127.8285000000005</v>
      </c>
      <c r="O480">
        <f>sales[[#This Row],[Quantity]]*sales[[#This Row],[UnitCostAtSale]]</f>
        <v>6000</v>
      </c>
      <c r="P480">
        <f>sales[[#This Row],[SalesAfterDiscount]]-sales[[#This Row],[CostOfGoodsSold]]</f>
        <v>127.82850000000053</v>
      </c>
      <c r="Q480">
        <f>IFERROR(sales[[#This Row],[GrossProfit]]/sales[[#This Row],[SalesAfterDiscount]],0)</f>
        <v>2.0860325970284664E-2</v>
      </c>
    </row>
    <row r="481" spans="1:17">
      <c r="A481" t="s">
        <v>1104</v>
      </c>
      <c r="B481" t="s">
        <v>1105</v>
      </c>
      <c r="C481" s="1">
        <v>45797</v>
      </c>
      <c r="D481" t="s">
        <v>33</v>
      </c>
      <c r="E481" t="s">
        <v>50</v>
      </c>
      <c r="F481" t="s">
        <v>116</v>
      </c>
      <c r="G481" t="s">
        <v>22</v>
      </c>
      <c r="H481">
        <v>5</v>
      </c>
      <c r="I481">
        <v>19237.78</v>
      </c>
      <c r="J481">
        <v>0</v>
      </c>
      <c r="K481">
        <v>13150</v>
      </c>
      <c r="L481">
        <f>sales[[#This Row],[Quantity]]*sales[[#This Row],[UnitPrice]]</f>
        <v>96188.9</v>
      </c>
      <c r="M481">
        <f>sales[[#This Row],[GrossSales]]*sales[[#This Row],[DiscountRate]]</f>
        <v>0</v>
      </c>
      <c r="N481">
        <f>sales[[#This Row],[GrossSales]]-sales[[#This Row],[DiscountAmount]]</f>
        <v>96188.9</v>
      </c>
      <c r="O481">
        <f>sales[[#This Row],[Quantity]]*sales[[#This Row],[UnitCostAtSale]]</f>
        <v>65750</v>
      </c>
      <c r="P481">
        <f>sales[[#This Row],[SalesAfterDiscount]]-sales[[#This Row],[CostOfGoodsSold]]</f>
        <v>30438.899999999994</v>
      </c>
      <c r="Q481">
        <f>IFERROR(sales[[#This Row],[GrossProfit]]/sales[[#This Row],[SalesAfterDiscount]],0)</f>
        <v>0.31644919528136817</v>
      </c>
    </row>
    <row r="482" spans="1:17">
      <c r="A482" t="s">
        <v>1106</v>
      </c>
      <c r="B482" t="s">
        <v>1107</v>
      </c>
      <c r="C482" s="1">
        <v>46135</v>
      </c>
      <c r="D482" t="s">
        <v>112</v>
      </c>
      <c r="E482" t="s">
        <v>14</v>
      </c>
      <c r="F482" t="s">
        <v>754</v>
      </c>
      <c r="G482" t="s">
        <v>16</v>
      </c>
      <c r="H482">
        <v>3</v>
      </c>
      <c r="I482">
        <v>10868.14</v>
      </c>
      <c r="J482">
        <v>0.15</v>
      </c>
      <c r="K482">
        <v>8850</v>
      </c>
      <c r="L482">
        <f>sales[[#This Row],[Quantity]]*sales[[#This Row],[UnitPrice]]</f>
        <v>32604.42</v>
      </c>
      <c r="M482">
        <f>sales[[#This Row],[GrossSales]]*sales[[#This Row],[DiscountRate]]</f>
        <v>4890.6629999999996</v>
      </c>
      <c r="N482">
        <f>sales[[#This Row],[GrossSales]]-sales[[#This Row],[DiscountAmount]]</f>
        <v>27713.756999999998</v>
      </c>
      <c r="O482">
        <f>sales[[#This Row],[Quantity]]*sales[[#This Row],[UnitCostAtSale]]</f>
        <v>26550</v>
      </c>
      <c r="P482">
        <f>sales[[#This Row],[SalesAfterDiscount]]-sales[[#This Row],[CostOfGoodsSold]]</f>
        <v>1163.7569999999978</v>
      </c>
      <c r="Q482">
        <f>IFERROR(sales[[#This Row],[GrossProfit]]/sales[[#This Row],[SalesAfterDiscount]],0)</f>
        <v>4.199203305419752E-2</v>
      </c>
    </row>
    <row r="483" spans="1:17">
      <c r="A483" t="s">
        <v>1108</v>
      </c>
      <c r="B483" t="s">
        <v>1109</v>
      </c>
      <c r="C483" s="1">
        <v>45870</v>
      </c>
      <c r="D483" t="s">
        <v>202</v>
      </c>
      <c r="E483" t="s">
        <v>72</v>
      </c>
      <c r="F483" t="s">
        <v>100</v>
      </c>
      <c r="G483" t="s">
        <v>22</v>
      </c>
      <c r="H483">
        <v>4</v>
      </c>
      <c r="I483">
        <v>3559.5</v>
      </c>
      <c r="J483">
        <v>0.1</v>
      </c>
      <c r="K483">
        <v>2250</v>
      </c>
      <c r="L483">
        <f>sales[[#This Row],[Quantity]]*sales[[#This Row],[UnitPrice]]</f>
        <v>14238</v>
      </c>
      <c r="M483">
        <f>sales[[#This Row],[GrossSales]]*sales[[#This Row],[DiscountRate]]</f>
        <v>1423.8000000000002</v>
      </c>
      <c r="N483">
        <f>sales[[#This Row],[GrossSales]]-sales[[#This Row],[DiscountAmount]]</f>
        <v>12814.2</v>
      </c>
      <c r="O483">
        <f>sales[[#This Row],[Quantity]]*sales[[#This Row],[UnitCostAtSale]]</f>
        <v>9000</v>
      </c>
      <c r="P483">
        <f>sales[[#This Row],[SalesAfterDiscount]]-sales[[#This Row],[CostOfGoodsSold]]</f>
        <v>3814.2000000000007</v>
      </c>
      <c r="Q483">
        <f>IFERROR(sales[[#This Row],[GrossProfit]]/sales[[#This Row],[SalesAfterDiscount]],0)</f>
        <v>0.2976541649108021</v>
      </c>
    </row>
    <row r="484" spans="1:17">
      <c r="A484" t="s">
        <v>1110</v>
      </c>
      <c r="B484" t="s">
        <v>1111</v>
      </c>
      <c r="C484" s="1">
        <v>45819</v>
      </c>
      <c r="D484" t="s">
        <v>71</v>
      </c>
      <c r="E484" t="s">
        <v>14</v>
      </c>
      <c r="F484" t="s">
        <v>287</v>
      </c>
      <c r="G484" t="s">
        <v>16</v>
      </c>
      <c r="H484">
        <v>3</v>
      </c>
      <c r="I484">
        <v>5799.34</v>
      </c>
      <c r="J484">
        <v>0.2</v>
      </c>
      <c r="K484">
        <v>3800</v>
      </c>
      <c r="L484">
        <f>sales[[#This Row],[Quantity]]*sales[[#This Row],[UnitPrice]]</f>
        <v>17398.02</v>
      </c>
      <c r="M484">
        <f>sales[[#This Row],[GrossSales]]*sales[[#This Row],[DiscountRate]]</f>
        <v>3479.6040000000003</v>
      </c>
      <c r="N484">
        <f>sales[[#This Row],[GrossSales]]-sales[[#This Row],[DiscountAmount]]</f>
        <v>13918.416000000001</v>
      </c>
      <c r="O484">
        <f>sales[[#This Row],[Quantity]]*sales[[#This Row],[UnitCostAtSale]]</f>
        <v>11400</v>
      </c>
      <c r="P484">
        <f>sales[[#This Row],[SalesAfterDiscount]]-sales[[#This Row],[CostOfGoodsSold]]</f>
        <v>2518.4160000000011</v>
      </c>
      <c r="Q484">
        <f>IFERROR(sales[[#This Row],[GrossProfit]]/sales[[#This Row],[SalesAfterDiscount]],0)</f>
        <v>0.18094127952491151</v>
      </c>
    </row>
    <row r="485" spans="1:17">
      <c r="A485" t="s">
        <v>1112</v>
      </c>
      <c r="B485" t="s">
        <v>1113</v>
      </c>
      <c r="C485" s="1">
        <v>45751</v>
      </c>
      <c r="D485" t="s">
        <v>29</v>
      </c>
      <c r="E485" t="s">
        <v>72</v>
      </c>
      <c r="F485" t="s">
        <v>651</v>
      </c>
      <c r="G485" t="s">
        <v>22</v>
      </c>
      <c r="H485">
        <v>2</v>
      </c>
      <c r="I485">
        <v>13204.06</v>
      </c>
      <c r="J485">
        <v>0.1</v>
      </c>
      <c r="K485">
        <v>11050</v>
      </c>
      <c r="L485">
        <f>sales[[#This Row],[Quantity]]*sales[[#This Row],[UnitPrice]]</f>
        <v>26408.12</v>
      </c>
      <c r="M485">
        <f>sales[[#This Row],[GrossSales]]*sales[[#This Row],[DiscountRate]]</f>
        <v>2640.8119999999999</v>
      </c>
      <c r="N485">
        <f>sales[[#This Row],[GrossSales]]-sales[[#This Row],[DiscountAmount]]</f>
        <v>23767.307999999997</v>
      </c>
      <c r="O485">
        <f>sales[[#This Row],[Quantity]]*sales[[#This Row],[UnitCostAtSale]]</f>
        <v>22100</v>
      </c>
      <c r="P485">
        <f>sales[[#This Row],[SalesAfterDiscount]]-sales[[#This Row],[CostOfGoodsSold]]</f>
        <v>1667.3079999999973</v>
      </c>
      <c r="Q485">
        <f>IFERROR(sales[[#This Row],[GrossProfit]]/sales[[#This Row],[SalesAfterDiscount]],0)</f>
        <v>7.0151318777877475E-2</v>
      </c>
    </row>
    <row r="486" spans="1:17">
      <c r="A486" t="s">
        <v>1114</v>
      </c>
      <c r="B486" t="s">
        <v>1115</v>
      </c>
      <c r="C486" s="1">
        <v>45964</v>
      </c>
      <c r="D486" t="s">
        <v>49</v>
      </c>
      <c r="E486" t="s">
        <v>14</v>
      </c>
      <c r="F486" t="s">
        <v>156</v>
      </c>
      <c r="G486" t="s">
        <v>16</v>
      </c>
      <c r="H486">
        <v>3</v>
      </c>
      <c r="I486">
        <v>13787.88</v>
      </c>
      <c r="J486">
        <v>0.05</v>
      </c>
      <c r="K486">
        <v>9500</v>
      </c>
      <c r="L486">
        <f>sales[[#This Row],[Quantity]]*sales[[#This Row],[UnitPrice]]</f>
        <v>41363.64</v>
      </c>
      <c r="M486">
        <f>sales[[#This Row],[GrossSales]]*sales[[#This Row],[DiscountRate]]</f>
        <v>2068.1820000000002</v>
      </c>
      <c r="N486">
        <f>sales[[#This Row],[GrossSales]]-sales[[#This Row],[DiscountAmount]]</f>
        <v>39295.457999999999</v>
      </c>
      <c r="O486">
        <f>sales[[#This Row],[Quantity]]*sales[[#This Row],[UnitCostAtSale]]</f>
        <v>28500</v>
      </c>
      <c r="P486">
        <f>sales[[#This Row],[SalesAfterDiscount]]-sales[[#This Row],[CostOfGoodsSold]]</f>
        <v>10795.457999999999</v>
      </c>
      <c r="Q486">
        <f>IFERROR(sales[[#This Row],[GrossProfit]]/sales[[#This Row],[SalesAfterDiscount]],0)</f>
        <v>0.27472533848568448</v>
      </c>
    </row>
    <row r="487" spans="1:17">
      <c r="A487" t="s">
        <v>1116</v>
      </c>
      <c r="B487" t="s">
        <v>1117</v>
      </c>
      <c r="C487" s="1">
        <v>45913</v>
      </c>
      <c r="D487" t="s">
        <v>64</v>
      </c>
      <c r="E487" t="s">
        <v>14</v>
      </c>
      <c r="F487" t="s">
        <v>858</v>
      </c>
      <c r="G487" t="s">
        <v>22</v>
      </c>
      <c r="H487">
        <v>1</v>
      </c>
      <c r="I487">
        <v>2056.0100000000002</v>
      </c>
      <c r="J487">
        <v>0.15</v>
      </c>
      <c r="K487">
        <v>1350</v>
      </c>
      <c r="L487">
        <f>sales[[#This Row],[Quantity]]*sales[[#This Row],[UnitPrice]]</f>
        <v>2056.0100000000002</v>
      </c>
      <c r="M487">
        <f>sales[[#This Row],[GrossSales]]*sales[[#This Row],[DiscountRate]]</f>
        <v>308.4015</v>
      </c>
      <c r="N487">
        <f>sales[[#This Row],[GrossSales]]-sales[[#This Row],[DiscountAmount]]</f>
        <v>1747.6085000000003</v>
      </c>
      <c r="O487">
        <f>sales[[#This Row],[Quantity]]*sales[[#This Row],[UnitCostAtSale]]</f>
        <v>1350</v>
      </c>
      <c r="P487">
        <f>sales[[#This Row],[SalesAfterDiscount]]-sales[[#This Row],[CostOfGoodsSold]]</f>
        <v>397.60850000000028</v>
      </c>
      <c r="Q487">
        <f>IFERROR(sales[[#This Row],[GrossProfit]]/sales[[#This Row],[SalesAfterDiscount]],0)</f>
        <v>0.22751577369874329</v>
      </c>
    </row>
    <row r="488" spans="1:17">
      <c r="A488" t="s">
        <v>1118</v>
      </c>
      <c r="B488" t="s">
        <v>1119</v>
      </c>
      <c r="C488" s="1">
        <v>45721</v>
      </c>
      <c r="D488" t="s">
        <v>161</v>
      </c>
      <c r="E488" t="s">
        <v>50</v>
      </c>
      <c r="F488" t="s">
        <v>156</v>
      </c>
      <c r="G488" t="s">
        <v>16</v>
      </c>
      <c r="H488">
        <v>2</v>
      </c>
      <c r="I488">
        <v>3694.44</v>
      </c>
      <c r="J488">
        <v>0.05</v>
      </c>
      <c r="K488">
        <v>3100</v>
      </c>
      <c r="L488">
        <f>sales[[#This Row],[Quantity]]*sales[[#This Row],[UnitPrice]]</f>
        <v>7388.88</v>
      </c>
      <c r="M488">
        <f>sales[[#This Row],[GrossSales]]*sales[[#This Row],[DiscountRate]]</f>
        <v>369.44400000000002</v>
      </c>
      <c r="N488">
        <f>sales[[#This Row],[GrossSales]]-sales[[#This Row],[DiscountAmount]]</f>
        <v>7019.4359999999997</v>
      </c>
      <c r="O488">
        <f>sales[[#This Row],[Quantity]]*sales[[#This Row],[UnitCostAtSale]]</f>
        <v>6200</v>
      </c>
      <c r="P488">
        <f>sales[[#This Row],[SalesAfterDiscount]]-sales[[#This Row],[CostOfGoodsSold]]</f>
        <v>819.43599999999969</v>
      </c>
      <c r="Q488">
        <f>IFERROR(sales[[#This Row],[GrossProfit]]/sales[[#This Row],[SalesAfterDiscount]],0)</f>
        <v>0.11673815389156618</v>
      </c>
    </row>
    <row r="489" spans="1:17">
      <c r="A489" t="s">
        <v>1120</v>
      </c>
      <c r="B489" t="s">
        <v>1121</v>
      </c>
      <c r="C489" s="1">
        <v>45744</v>
      </c>
      <c r="D489" t="s">
        <v>49</v>
      </c>
      <c r="E489" t="s">
        <v>20</v>
      </c>
      <c r="F489" t="s">
        <v>1005</v>
      </c>
      <c r="G489" t="s">
        <v>22</v>
      </c>
      <c r="H489">
        <v>5</v>
      </c>
      <c r="I489">
        <v>13787.88</v>
      </c>
      <c r="J489">
        <v>0.2</v>
      </c>
      <c r="K489">
        <v>9500</v>
      </c>
      <c r="L489">
        <f>sales[[#This Row],[Quantity]]*sales[[#This Row],[UnitPrice]]</f>
        <v>68939.399999999994</v>
      </c>
      <c r="M489">
        <f>sales[[#This Row],[GrossSales]]*sales[[#This Row],[DiscountRate]]</f>
        <v>13787.88</v>
      </c>
      <c r="N489">
        <f>sales[[#This Row],[GrossSales]]-sales[[#This Row],[DiscountAmount]]</f>
        <v>55151.519999999997</v>
      </c>
      <c r="O489">
        <f>sales[[#This Row],[Quantity]]*sales[[#This Row],[UnitCostAtSale]]</f>
        <v>47500</v>
      </c>
      <c r="P489">
        <f>sales[[#This Row],[SalesAfterDiscount]]-sales[[#This Row],[CostOfGoodsSold]]</f>
        <v>7651.5199999999968</v>
      </c>
      <c r="Q489">
        <f>IFERROR(sales[[#This Row],[GrossProfit]]/sales[[#This Row],[SalesAfterDiscount]],0)</f>
        <v>0.13873633945175032</v>
      </c>
    </row>
    <row r="490" spans="1:17">
      <c r="A490" t="s">
        <v>1122</v>
      </c>
      <c r="B490" t="s">
        <v>1123</v>
      </c>
      <c r="C490" s="1">
        <v>45860</v>
      </c>
      <c r="D490" t="s">
        <v>71</v>
      </c>
      <c r="E490" t="s">
        <v>14</v>
      </c>
      <c r="F490" t="s">
        <v>186</v>
      </c>
      <c r="G490" t="s">
        <v>22</v>
      </c>
      <c r="H490">
        <v>4</v>
      </c>
      <c r="I490">
        <v>5799.34</v>
      </c>
      <c r="J490">
        <v>0.05</v>
      </c>
      <c r="K490">
        <v>3800</v>
      </c>
      <c r="L490">
        <f>sales[[#This Row],[Quantity]]*sales[[#This Row],[UnitPrice]]</f>
        <v>23197.360000000001</v>
      </c>
      <c r="M490">
        <f>sales[[#This Row],[GrossSales]]*sales[[#This Row],[DiscountRate]]</f>
        <v>1159.8680000000002</v>
      </c>
      <c r="N490">
        <f>sales[[#This Row],[GrossSales]]-sales[[#This Row],[DiscountAmount]]</f>
        <v>22037.492000000002</v>
      </c>
      <c r="O490">
        <f>sales[[#This Row],[Quantity]]*sales[[#This Row],[UnitCostAtSale]]</f>
        <v>15200</v>
      </c>
      <c r="P490">
        <f>sales[[#This Row],[SalesAfterDiscount]]-sales[[#This Row],[CostOfGoodsSold]]</f>
        <v>6837.492000000002</v>
      </c>
      <c r="Q490">
        <f>IFERROR(sales[[#This Row],[GrossProfit]]/sales[[#This Row],[SalesAfterDiscount]],0)</f>
        <v>0.31026634065255709</v>
      </c>
    </row>
    <row r="491" spans="1:17">
      <c r="A491" t="s">
        <v>1124</v>
      </c>
      <c r="B491" t="s">
        <v>1125</v>
      </c>
      <c r="C491" s="1">
        <v>46130</v>
      </c>
      <c r="D491" t="s">
        <v>60</v>
      </c>
      <c r="E491" t="s">
        <v>46</v>
      </c>
      <c r="F491" t="s">
        <v>137</v>
      </c>
      <c r="G491" t="s">
        <v>16</v>
      </c>
      <c r="H491">
        <v>1</v>
      </c>
      <c r="I491">
        <v>9389.4699999999993</v>
      </c>
      <c r="J491">
        <v>0.05</v>
      </c>
      <c r="K491">
        <v>7250</v>
      </c>
      <c r="L491">
        <f>sales[[#This Row],[Quantity]]*sales[[#This Row],[UnitPrice]]</f>
        <v>9389.4699999999993</v>
      </c>
      <c r="M491">
        <f>sales[[#This Row],[GrossSales]]*sales[[#This Row],[DiscountRate]]</f>
        <v>469.4735</v>
      </c>
      <c r="N491">
        <f>sales[[#This Row],[GrossSales]]-sales[[#This Row],[DiscountAmount]]</f>
        <v>8919.9964999999993</v>
      </c>
      <c r="O491">
        <f>sales[[#This Row],[Quantity]]*sales[[#This Row],[UnitCostAtSale]]</f>
        <v>7250</v>
      </c>
      <c r="P491">
        <f>sales[[#This Row],[SalesAfterDiscount]]-sales[[#This Row],[CostOfGoodsSold]]</f>
        <v>1669.9964999999993</v>
      </c>
      <c r="Q491">
        <f>IFERROR(sales[[#This Row],[GrossProfit]]/sales[[#This Row],[SalesAfterDiscount]],0)</f>
        <v>0.18721941202555398</v>
      </c>
    </row>
    <row r="492" spans="1:17">
      <c r="A492" t="s">
        <v>1126</v>
      </c>
      <c r="B492" t="s">
        <v>1127</v>
      </c>
      <c r="C492" s="1">
        <v>45688</v>
      </c>
      <c r="D492" t="s">
        <v>19</v>
      </c>
      <c r="E492" t="s">
        <v>50</v>
      </c>
      <c r="F492" t="s">
        <v>281</v>
      </c>
      <c r="G492" t="s">
        <v>22</v>
      </c>
      <c r="H492">
        <v>4</v>
      </c>
      <c r="I492">
        <v>12193.29</v>
      </c>
      <c r="J492">
        <v>0.15</v>
      </c>
      <c r="K492">
        <v>9950</v>
      </c>
      <c r="L492">
        <f>sales[[#This Row],[Quantity]]*sales[[#This Row],[UnitPrice]]</f>
        <v>48773.16</v>
      </c>
      <c r="M492">
        <f>sales[[#This Row],[GrossSales]]*sales[[#This Row],[DiscountRate]]</f>
        <v>7315.9740000000002</v>
      </c>
      <c r="N492">
        <f>sales[[#This Row],[GrossSales]]-sales[[#This Row],[DiscountAmount]]</f>
        <v>41457.186000000002</v>
      </c>
      <c r="O492">
        <f>sales[[#This Row],[Quantity]]*sales[[#This Row],[UnitCostAtSale]]</f>
        <v>39800</v>
      </c>
      <c r="P492">
        <f>sales[[#This Row],[SalesAfterDiscount]]-sales[[#This Row],[CostOfGoodsSold]]</f>
        <v>1657.1860000000015</v>
      </c>
      <c r="Q492">
        <f>IFERROR(sales[[#This Row],[GrossProfit]]/sales[[#This Row],[SalesAfterDiscount]],0)</f>
        <v>3.9973431867758737E-2</v>
      </c>
    </row>
    <row r="493" spans="1:17">
      <c r="A493" t="s">
        <v>1128</v>
      </c>
      <c r="B493" t="s">
        <v>1129</v>
      </c>
      <c r="C493" s="1">
        <v>45849</v>
      </c>
      <c r="D493" t="s">
        <v>99</v>
      </c>
      <c r="E493" t="s">
        <v>72</v>
      </c>
      <c r="F493" t="s">
        <v>474</v>
      </c>
      <c r="G493" t="s">
        <v>22</v>
      </c>
      <c r="H493">
        <v>3</v>
      </c>
      <c r="I493">
        <v>10644.48</v>
      </c>
      <c r="J493">
        <v>0.1</v>
      </c>
      <c r="K493">
        <v>7050</v>
      </c>
      <c r="L493">
        <f>sales[[#This Row],[Quantity]]*sales[[#This Row],[UnitPrice]]</f>
        <v>31933.439999999999</v>
      </c>
      <c r="M493">
        <f>sales[[#This Row],[GrossSales]]*sales[[#This Row],[DiscountRate]]</f>
        <v>3193.3440000000001</v>
      </c>
      <c r="N493">
        <f>sales[[#This Row],[GrossSales]]-sales[[#This Row],[DiscountAmount]]</f>
        <v>28740.095999999998</v>
      </c>
      <c r="O493">
        <f>sales[[#This Row],[Quantity]]*sales[[#This Row],[UnitCostAtSale]]</f>
        <v>21150</v>
      </c>
      <c r="P493">
        <f>sales[[#This Row],[SalesAfterDiscount]]-sales[[#This Row],[CostOfGoodsSold]]</f>
        <v>7590.0959999999977</v>
      </c>
      <c r="Q493">
        <f>IFERROR(sales[[#This Row],[GrossProfit]]/sales[[#This Row],[SalesAfterDiscount]],0)</f>
        <v>0.26409431617764945</v>
      </c>
    </row>
    <row r="494" spans="1:17">
      <c r="A494" t="s">
        <v>1130</v>
      </c>
      <c r="B494" t="s">
        <v>1131</v>
      </c>
      <c r="C494" s="1">
        <v>45909</v>
      </c>
      <c r="D494" t="s">
        <v>95</v>
      </c>
      <c r="E494" t="s">
        <v>72</v>
      </c>
      <c r="F494" t="s">
        <v>203</v>
      </c>
      <c r="G494" t="s">
        <v>16</v>
      </c>
      <c r="H494">
        <v>3</v>
      </c>
      <c r="I494">
        <v>12048.66</v>
      </c>
      <c r="J494">
        <v>0.15</v>
      </c>
      <c r="K494">
        <v>9900</v>
      </c>
      <c r="L494">
        <f>sales[[#This Row],[Quantity]]*sales[[#This Row],[UnitPrice]]</f>
        <v>36145.979999999996</v>
      </c>
      <c r="M494">
        <f>sales[[#This Row],[GrossSales]]*sales[[#This Row],[DiscountRate]]</f>
        <v>5421.896999999999</v>
      </c>
      <c r="N494">
        <f>sales[[#This Row],[GrossSales]]-sales[[#This Row],[DiscountAmount]]</f>
        <v>30724.082999999999</v>
      </c>
      <c r="O494">
        <f>sales[[#This Row],[Quantity]]*sales[[#This Row],[UnitCostAtSale]]</f>
        <v>29700</v>
      </c>
      <c r="P494">
        <f>sales[[#This Row],[SalesAfterDiscount]]-sales[[#This Row],[CostOfGoodsSold]]</f>
        <v>1024.0829999999987</v>
      </c>
      <c r="Q494">
        <f>IFERROR(sales[[#This Row],[GrossProfit]]/sales[[#This Row],[SalesAfterDiscount]],0)</f>
        <v>3.3331605047415044E-2</v>
      </c>
    </row>
    <row r="495" spans="1:17">
      <c r="A495" t="s">
        <v>1132</v>
      </c>
      <c r="B495" t="s">
        <v>1133</v>
      </c>
      <c r="C495" s="1">
        <v>45747</v>
      </c>
      <c r="D495" t="s">
        <v>60</v>
      </c>
      <c r="E495" t="s">
        <v>50</v>
      </c>
      <c r="F495" t="s">
        <v>176</v>
      </c>
      <c r="G495" t="s">
        <v>22</v>
      </c>
      <c r="H495">
        <v>3</v>
      </c>
      <c r="I495">
        <v>9389.4699999999993</v>
      </c>
      <c r="J495">
        <v>0.15</v>
      </c>
      <c r="K495">
        <v>7250</v>
      </c>
      <c r="L495">
        <f>sales[[#This Row],[Quantity]]*sales[[#This Row],[UnitPrice]]</f>
        <v>28168.409999999996</v>
      </c>
      <c r="M495">
        <f>sales[[#This Row],[GrossSales]]*sales[[#This Row],[DiscountRate]]</f>
        <v>4225.2614999999996</v>
      </c>
      <c r="N495">
        <f>sales[[#This Row],[GrossSales]]-sales[[#This Row],[DiscountAmount]]</f>
        <v>23943.148499999996</v>
      </c>
      <c r="O495">
        <f>sales[[#This Row],[Quantity]]*sales[[#This Row],[UnitCostAtSale]]</f>
        <v>21750</v>
      </c>
      <c r="P495">
        <f>sales[[#This Row],[SalesAfterDiscount]]-sales[[#This Row],[CostOfGoodsSold]]</f>
        <v>2193.1484999999957</v>
      </c>
      <c r="Q495">
        <f>IFERROR(sales[[#This Row],[GrossProfit]]/sales[[#This Row],[SalesAfterDiscount]],0)</f>
        <v>9.1598166381501422E-2</v>
      </c>
    </row>
    <row r="496" spans="1:17">
      <c r="A496" t="s">
        <v>1134</v>
      </c>
      <c r="B496" t="s">
        <v>1135</v>
      </c>
      <c r="C496" s="1">
        <v>46196</v>
      </c>
      <c r="D496" t="s">
        <v>130</v>
      </c>
      <c r="E496" t="s">
        <v>14</v>
      </c>
      <c r="F496" t="s">
        <v>234</v>
      </c>
      <c r="G496" t="s">
        <v>16</v>
      </c>
      <c r="H496">
        <v>2</v>
      </c>
      <c r="I496">
        <v>12166.11</v>
      </c>
      <c r="J496">
        <v>0.2</v>
      </c>
      <c r="K496">
        <v>7750</v>
      </c>
      <c r="L496">
        <f>sales[[#This Row],[Quantity]]*sales[[#This Row],[UnitPrice]]</f>
        <v>24332.22</v>
      </c>
      <c r="M496">
        <f>sales[[#This Row],[GrossSales]]*sales[[#This Row],[DiscountRate]]</f>
        <v>4866.4440000000004</v>
      </c>
      <c r="N496">
        <f>sales[[#This Row],[GrossSales]]-sales[[#This Row],[DiscountAmount]]</f>
        <v>19465.776000000002</v>
      </c>
      <c r="O496">
        <f>sales[[#This Row],[Quantity]]*sales[[#This Row],[UnitCostAtSale]]</f>
        <v>15500</v>
      </c>
      <c r="P496">
        <f>sales[[#This Row],[SalesAfterDiscount]]-sales[[#This Row],[CostOfGoodsSold]]</f>
        <v>3965.7760000000017</v>
      </c>
      <c r="Q496">
        <f>IFERROR(sales[[#This Row],[GrossProfit]]/sales[[#This Row],[SalesAfterDiscount]],0)</f>
        <v>0.20373069123984583</v>
      </c>
    </row>
    <row r="497" spans="1:17">
      <c r="A497" t="s">
        <v>1136</v>
      </c>
      <c r="B497" t="s">
        <v>1137</v>
      </c>
      <c r="C497" s="1">
        <v>46154</v>
      </c>
      <c r="D497" t="s">
        <v>19</v>
      </c>
      <c r="E497" t="s">
        <v>46</v>
      </c>
      <c r="F497" t="s">
        <v>172</v>
      </c>
      <c r="G497" t="s">
        <v>16</v>
      </c>
      <c r="H497">
        <v>3</v>
      </c>
      <c r="I497">
        <v>12193.29</v>
      </c>
      <c r="J497">
        <v>0.2</v>
      </c>
      <c r="K497">
        <v>9950</v>
      </c>
      <c r="L497">
        <f>sales[[#This Row],[Quantity]]*sales[[#This Row],[UnitPrice]]</f>
        <v>36579.870000000003</v>
      </c>
      <c r="M497">
        <f>sales[[#This Row],[GrossSales]]*sales[[#This Row],[DiscountRate]]</f>
        <v>7315.9740000000011</v>
      </c>
      <c r="N497">
        <f>sales[[#This Row],[GrossSales]]-sales[[#This Row],[DiscountAmount]]</f>
        <v>29263.896000000001</v>
      </c>
      <c r="O497">
        <f>sales[[#This Row],[Quantity]]*sales[[#This Row],[UnitCostAtSale]]</f>
        <v>29850</v>
      </c>
      <c r="P497">
        <f>sales[[#This Row],[SalesAfterDiscount]]-sales[[#This Row],[CostOfGoodsSold]]</f>
        <v>-586.10399999999936</v>
      </c>
      <c r="Q497">
        <f>IFERROR(sales[[#This Row],[GrossProfit]]/sales[[#This Row],[SalesAfterDiscount]],0)</f>
        <v>-2.0028228640506355E-2</v>
      </c>
    </row>
    <row r="498" spans="1:17">
      <c r="A498" t="s">
        <v>1138</v>
      </c>
      <c r="B498" t="s">
        <v>1139</v>
      </c>
      <c r="C498" s="1">
        <v>45842</v>
      </c>
      <c r="D498" t="s">
        <v>80</v>
      </c>
      <c r="E498" t="s">
        <v>46</v>
      </c>
      <c r="F498" t="s">
        <v>223</v>
      </c>
      <c r="G498" t="s">
        <v>22</v>
      </c>
      <c r="H498">
        <v>1</v>
      </c>
      <c r="I498">
        <v>19555.88</v>
      </c>
      <c r="J498">
        <v>0.1</v>
      </c>
      <c r="K498">
        <v>14200</v>
      </c>
      <c r="L498">
        <f>sales[[#This Row],[Quantity]]*sales[[#This Row],[UnitPrice]]</f>
        <v>19555.88</v>
      </c>
      <c r="M498">
        <f>sales[[#This Row],[GrossSales]]*sales[[#This Row],[DiscountRate]]</f>
        <v>1955.5880000000002</v>
      </c>
      <c r="N498">
        <f>sales[[#This Row],[GrossSales]]-sales[[#This Row],[DiscountAmount]]</f>
        <v>17600.292000000001</v>
      </c>
      <c r="O498">
        <f>sales[[#This Row],[Quantity]]*sales[[#This Row],[UnitCostAtSale]]</f>
        <v>14200</v>
      </c>
      <c r="P498">
        <f>sales[[#This Row],[SalesAfterDiscount]]-sales[[#This Row],[CostOfGoodsSold]]</f>
        <v>3400.2920000000013</v>
      </c>
      <c r="Q498">
        <f>IFERROR(sales[[#This Row],[GrossProfit]]/sales[[#This Row],[SalesAfterDiscount]],0)</f>
        <v>0.19319520380684599</v>
      </c>
    </row>
    <row r="499" spans="1:17">
      <c r="A499" t="s">
        <v>1140</v>
      </c>
      <c r="B499" t="s">
        <v>1141</v>
      </c>
      <c r="C499" s="1">
        <v>45945</v>
      </c>
      <c r="D499" t="s">
        <v>45</v>
      </c>
      <c r="E499" t="s">
        <v>46</v>
      </c>
      <c r="F499" t="s">
        <v>281</v>
      </c>
      <c r="G499" t="s">
        <v>22</v>
      </c>
      <c r="H499">
        <v>1</v>
      </c>
      <c r="I499">
        <v>11889.76</v>
      </c>
      <c r="J499">
        <v>0.15</v>
      </c>
      <c r="K499">
        <v>9300</v>
      </c>
      <c r="L499">
        <f>sales[[#This Row],[Quantity]]*sales[[#This Row],[UnitPrice]]</f>
        <v>11889.76</v>
      </c>
      <c r="M499">
        <f>sales[[#This Row],[GrossSales]]*sales[[#This Row],[DiscountRate]]</f>
        <v>1783.4639999999999</v>
      </c>
      <c r="N499">
        <f>sales[[#This Row],[GrossSales]]-sales[[#This Row],[DiscountAmount]]</f>
        <v>10106.296</v>
      </c>
      <c r="O499">
        <f>sales[[#This Row],[Quantity]]*sales[[#This Row],[UnitCostAtSale]]</f>
        <v>9300</v>
      </c>
      <c r="P499">
        <f>sales[[#This Row],[SalesAfterDiscount]]-sales[[#This Row],[CostOfGoodsSold]]</f>
        <v>806.29600000000028</v>
      </c>
      <c r="Q499">
        <f>IFERROR(sales[[#This Row],[GrossProfit]]/sales[[#This Row],[SalesAfterDiscount]],0)</f>
        <v>7.9781553993668916E-2</v>
      </c>
    </row>
    <row r="500" spans="1:17">
      <c r="A500" t="s">
        <v>1142</v>
      </c>
      <c r="B500" t="s">
        <v>1143</v>
      </c>
      <c r="C500" s="1">
        <v>45760</v>
      </c>
      <c r="D500" t="s">
        <v>313</v>
      </c>
      <c r="E500" t="s">
        <v>20</v>
      </c>
      <c r="F500" t="s">
        <v>754</v>
      </c>
      <c r="G500" t="s">
        <v>22</v>
      </c>
      <c r="H500">
        <v>2</v>
      </c>
      <c r="I500">
        <v>3335.18</v>
      </c>
      <c r="J500">
        <v>0.05</v>
      </c>
      <c r="K500">
        <v>2600</v>
      </c>
      <c r="L500">
        <f>sales[[#This Row],[Quantity]]*sales[[#This Row],[UnitPrice]]</f>
        <v>6670.36</v>
      </c>
      <c r="M500">
        <f>sales[[#This Row],[GrossSales]]*sales[[#This Row],[DiscountRate]]</f>
        <v>333.51800000000003</v>
      </c>
      <c r="N500">
        <f>sales[[#This Row],[GrossSales]]-sales[[#This Row],[DiscountAmount]]</f>
        <v>6336.8419999999996</v>
      </c>
      <c r="O500">
        <f>sales[[#This Row],[Quantity]]*sales[[#This Row],[UnitCostAtSale]]</f>
        <v>5200</v>
      </c>
      <c r="P500">
        <f>sales[[#This Row],[SalesAfterDiscount]]-sales[[#This Row],[CostOfGoodsSold]]</f>
        <v>1136.8419999999996</v>
      </c>
      <c r="Q500">
        <f>IFERROR(sales[[#This Row],[GrossProfit]]/sales[[#This Row],[SalesAfterDiscount]],0)</f>
        <v>0.17940197972428534</v>
      </c>
    </row>
    <row r="501" spans="1:17">
      <c r="A501" t="s">
        <v>1144</v>
      </c>
      <c r="B501" t="s">
        <v>1145</v>
      </c>
      <c r="C501" s="1">
        <v>45882</v>
      </c>
      <c r="D501" t="s">
        <v>202</v>
      </c>
      <c r="E501" t="s">
        <v>20</v>
      </c>
      <c r="F501" t="s">
        <v>196</v>
      </c>
      <c r="G501" t="s">
        <v>22</v>
      </c>
      <c r="H501">
        <v>5</v>
      </c>
      <c r="I501">
        <v>3559.5</v>
      </c>
      <c r="J501">
        <v>0.15</v>
      </c>
      <c r="K501">
        <v>2250</v>
      </c>
      <c r="L501">
        <f>sales[[#This Row],[Quantity]]*sales[[#This Row],[UnitPrice]]</f>
        <v>17797.5</v>
      </c>
      <c r="M501">
        <f>sales[[#This Row],[GrossSales]]*sales[[#This Row],[DiscountRate]]</f>
        <v>2669.625</v>
      </c>
      <c r="N501">
        <f>sales[[#This Row],[GrossSales]]-sales[[#This Row],[DiscountAmount]]</f>
        <v>15127.875</v>
      </c>
      <c r="O501">
        <f>sales[[#This Row],[Quantity]]*sales[[#This Row],[UnitCostAtSale]]</f>
        <v>11250</v>
      </c>
      <c r="P501">
        <f>sales[[#This Row],[SalesAfterDiscount]]-sales[[#This Row],[CostOfGoodsSold]]</f>
        <v>3877.875</v>
      </c>
      <c r="Q501">
        <f>IFERROR(sales[[#This Row],[GrossProfit]]/sales[[#This Row],[SalesAfterDiscount]],0)</f>
        <v>0.25633970402320222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B4D70-DC2E-4029-B5BB-6035A76B0EFD}">
  <dimension ref="A1"/>
  <sheetViews>
    <sheetView tabSelected="1" zoomScale="77" zoomScaleNormal="100" workbookViewId="0">
      <selection activeCell="D6" sqref="D6"/>
    </sheetView>
  </sheetViews>
  <sheetFormatPr defaultRowHeight="14.4"/>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03D28-9F03-4AC5-A5CD-B7189E5F6BFC}">
  <dimension ref="A1:B7"/>
  <sheetViews>
    <sheetView workbookViewId="0">
      <selection activeCell="B3" sqref="B3"/>
    </sheetView>
  </sheetViews>
  <sheetFormatPr defaultRowHeight="14.4"/>
  <cols>
    <col min="1" max="1" width="16.77734375" customWidth="1"/>
    <col min="2" max="2" width="17.33203125" customWidth="1"/>
  </cols>
  <sheetData>
    <row r="1" spans="1:2">
      <c r="A1" t="s">
        <v>1170</v>
      </c>
      <c r="B1" t="s">
        <v>1171</v>
      </c>
    </row>
    <row r="2" spans="1:2">
      <c r="A2" t="s">
        <v>1172</v>
      </c>
      <c r="B2">
        <f>SUM(sales[SalesAfterDiscount])</f>
        <v>15033192.352000006</v>
      </c>
    </row>
    <row r="3" spans="1:2">
      <c r="A3" t="s">
        <v>1173</v>
      </c>
      <c r="B3">
        <f>SUM(sales[GrossProfit])</f>
        <v>2700692.3520000046</v>
      </c>
    </row>
    <row r="4" spans="1:2">
      <c r="A4" t="s">
        <v>1174</v>
      </c>
      <c r="B4">
        <f>IFERROR(B3/B2,0)</f>
        <v>0.17964862610440199</v>
      </c>
    </row>
    <row r="5" spans="1:2">
      <c r="A5" t="s">
        <v>1175</v>
      </c>
      <c r="B5">
        <f>COUNTA(sales[OrderID])</f>
        <v>500</v>
      </c>
    </row>
    <row r="6" spans="1:2">
      <c r="A6" t="s">
        <v>1176</v>
      </c>
      <c r="B6">
        <f>SUM(sales[Quantity])</f>
        <v>1560</v>
      </c>
    </row>
    <row r="7" spans="1:2">
      <c r="A7" t="s">
        <v>1177</v>
      </c>
      <c r="B7" s="8">
        <f>IFERROR(B2/B5,0)</f>
        <v>30066.384704000011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79FD86-7795-487F-8503-7ED503737837}">
  <dimension ref="B1:C12"/>
  <sheetViews>
    <sheetView workbookViewId="0">
      <selection activeCell="L4" sqref="L4"/>
    </sheetView>
  </sheetViews>
  <sheetFormatPr defaultRowHeight="14.4"/>
  <cols>
    <col min="2" max="2" width="12.44140625" bestFit="1" customWidth="1"/>
    <col min="3" max="3" width="16.44140625" bestFit="1" customWidth="1"/>
    <col min="14" max="14" width="12.44140625" bestFit="1" customWidth="1"/>
    <col min="15" max="15" width="16.44140625" bestFit="1" customWidth="1"/>
  </cols>
  <sheetData>
    <row r="1" spans="2:3">
      <c r="B1" s="2" t="s">
        <v>1152</v>
      </c>
      <c r="C1" t="s">
        <v>1155</v>
      </c>
    </row>
    <row r="2" spans="2:3">
      <c r="B2" s="3" t="s">
        <v>126</v>
      </c>
      <c r="C2" s="7">
        <v>288122.41999999993</v>
      </c>
    </row>
    <row r="3" spans="2:3">
      <c r="B3" s="3" t="s">
        <v>155</v>
      </c>
      <c r="C3" s="7">
        <v>188052.87949999992</v>
      </c>
    </row>
    <row r="4" spans="2:3">
      <c r="B4" s="3" t="s">
        <v>49</v>
      </c>
      <c r="C4" s="7">
        <v>180583.40599999999</v>
      </c>
    </row>
    <row r="5" spans="2:3">
      <c r="B5" s="3" t="s">
        <v>130</v>
      </c>
      <c r="C5" s="7">
        <v>175656.50200000007</v>
      </c>
    </row>
    <row r="6" spans="2:3">
      <c r="B6" s="3" t="s">
        <v>80</v>
      </c>
      <c r="C6" s="7">
        <v>154034.90800000005</v>
      </c>
    </row>
    <row r="7" spans="2:3">
      <c r="B7" s="3" t="s">
        <v>316</v>
      </c>
      <c r="C7" s="7">
        <v>144884.92250000004</v>
      </c>
    </row>
    <row r="8" spans="2:3">
      <c r="B8" s="3" t="s">
        <v>33</v>
      </c>
      <c r="C8" s="7">
        <v>140955.72699999996</v>
      </c>
    </row>
    <row r="9" spans="2:3">
      <c r="B9" s="3" t="s">
        <v>99</v>
      </c>
      <c r="C9" s="7">
        <v>131299.48799999998</v>
      </c>
    </row>
    <row r="10" spans="2:3">
      <c r="B10" s="3" t="s">
        <v>25</v>
      </c>
      <c r="C10" s="7">
        <v>111365.31499999993</v>
      </c>
    </row>
    <row r="11" spans="2:3">
      <c r="B11" s="3" t="s">
        <v>87</v>
      </c>
      <c r="C11" s="7">
        <v>102620.18999999997</v>
      </c>
    </row>
    <row r="12" spans="2:3">
      <c r="B12" s="3" t="s">
        <v>1153</v>
      </c>
      <c r="C12" s="7">
        <v>1617575.7579999997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66117D-6860-4AFD-A4E0-88F6094A36E5}">
  <dimension ref="B3:C6"/>
  <sheetViews>
    <sheetView topLeftCell="B2" workbookViewId="0">
      <selection activeCell="D27" sqref="D26:D27"/>
    </sheetView>
  </sheetViews>
  <sheetFormatPr defaultRowHeight="14.4"/>
  <cols>
    <col min="2" max="2" width="12.44140625" bestFit="1" customWidth="1"/>
    <col min="3" max="3" width="23.21875" bestFit="1" customWidth="1"/>
    <col min="10" max="10" width="12.44140625" bestFit="1" customWidth="1"/>
    <col min="11" max="11" width="23.21875" bestFit="1" customWidth="1"/>
  </cols>
  <sheetData>
    <row r="3" spans="2:3">
      <c r="B3" s="2" t="s">
        <v>1152</v>
      </c>
      <c r="C3" t="s">
        <v>1154</v>
      </c>
    </row>
    <row r="4" spans="2:3">
      <c r="B4" s="3" t="s">
        <v>22</v>
      </c>
      <c r="C4" s="7">
        <v>7059129.1479999991</v>
      </c>
    </row>
    <row r="5" spans="2:3">
      <c r="B5" s="3" t="s">
        <v>16</v>
      </c>
      <c r="C5" s="7">
        <v>7974063.203999998</v>
      </c>
    </row>
    <row r="6" spans="2:3">
      <c r="B6" s="3" t="s">
        <v>1153</v>
      </c>
      <c r="C6" s="7">
        <v>15033192.351999998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C561B4-A836-46BD-972C-D5C3FE03858A}">
  <dimension ref="E3:F24"/>
  <sheetViews>
    <sheetView workbookViewId="0">
      <selection activeCell="M14" sqref="M14"/>
    </sheetView>
  </sheetViews>
  <sheetFormatPr defaultRowHeight="14.4"/>
  <cols>
    <col min="5" max="5" width="12.44140625" bestFit="1" customWidth="1"/>
    <col min="6" max="6" width="23.21875" bestFit="1" customWidth="1"/>
  </cols>
  <sheetData>
    <row r="3" spans="5:6">
      <c r="E3" s="2" t="s">
        <v>1152</v>
      </c>
      <c r="F3" t="s">
        <v>1154</v>
      </c>
    </row>
    <row r="4" spans="5:6">
      <c r="E4" s="3" t="s">
        <v>1156</v>
      </c>
      <c r="F4" s="7">
        <v>10473515.613499999</v>
      </c>
    </row>
    <row r="5" spans="5:6">
      <c r="E5" s="6" t="s">
        <v>1158</v>
      </c>
      <c r="F5" s="7">
        <v>487328.00849999994</v>
      </c>
    </row>
    <row r="6" spans="5:6">
      <c r="E6" s="6" t="s">
        <v>1159</v>
      </c>
      <c r="F6" s="7">
        <v>811621.02749999985</v>
      </c>
    </row>
    <row r="7" spans="5:6">
      <c r="E7" s="6" t="s">
        <v>1160</v>
      </c>
      <c r="F7" s="7">
        <v>1144902.0984999998</v>
      </c>
    </row>
    <row r="8" spans="5:6">
      <c r="E8" s="6" t="s">
        <v>1161</v>
      </c>
      <c r="F8" s="7">
        <v>604318.01199999976</v>
      </c>
    </row>
    <row r="9" spans="5:6">
      <c r="E9" s="6" t="s">
        <v>1162</v>
      </c>
      <c r="F9" s="7">
        <v>1077500.9685000004</v>
      </c>
    </row>
    <row r="10" spans="5:6">
      <c r="E10" s="6" t="s">
        <v>1163</v>
      </c>
      <c r="F10" s="7">
        <v>941984.16449999972</v>
      </c>
    </row>
    <row r="11" spans="5:6">
      <c r="E11" s="6" t="s">
        <v>1164</v>
      </c>
      <c r="F11" s="7">
        <v>916527.25200000009</v>
      </c>
    </row>
    <row r="12" spans="5:6">
      <c r="E12" s="6" t="s">
        <v>1165</v>
      </c>
      <c r="F12" s="7">
        <v>952387.99549999984</v>
      </c>
    </row>
    <row r="13" spans="5:6">
      <c r="E13" s="6" t="s">
        <v>1166</v>
      </c>
      <c r="F13" s="7">
        <v>789424.58600000001</v>
      </c>
    </row>
    <row r="14" spans="5:6">
      <c r="E14" s="6" t="s">
        <v>1167</v>
      </c>
      <c r="F14" s="7">
        <v>1110217.6120000002</v>
      </c>
    </row>
    <row r="15" spans="5:6">
      <c r="E15" s="6" t="s">
        <v>1168</v>
      </c>
      <c r="F15" s="7">
        <v>913591.64949999994</v>
      </c>
    </row>
    <row r="16" spans="5:6">
      <c r="E16" s="6" t="s">
        <v>1169</v>
      </c>
      <c r="F16" s="7">
        <v>723712.23899999983</v>
      </c>
    </row>
    <row r="17" spans="5:6">
      <c r="E17" s="3" t="s">
        <v>1157</v>
      </c>
      <c r="F17" s="7">
        <v>4559676.738499999</v>
      </c>
    </row>
    <row r="18" spans="5:6">
      <c r="E18" s="6" t="s">
        <v>1158</v>
      </c>
      <c r="F18" s="7">
        <v>927888.87199999986</v>
      </c>
    </row>
    <row r="19" spans="5:6">
      <c r="E19" s="6" t="s">
        <v>1159</v>
      </c>
      <c r="F19" s="7">
        <v>587772.223</v>
      </c>
    </row>
    <row r="20" spans="5:6">
      <c r="E20" s="6" t="s">
        <v>1160</v>
      </c>
      <c r="F20" s="7">
        <v>894560.23499999987</v>
      </c>
    </row>
    <row r="21" spans="5:6">
      <c r="E21" s="6" t="s">
        <v>1161</v>
      </c>
      <c r="F21" s="7">
        <v>862036.74</v>
      </c>
    </row>
    <row r="22" spans="5:6">
      <c r="E22" s="6" t="s">
        <v>1162</v>
      </c>
      <c r="F22" s="7">
        <v>762797.05799999996</v>
      </c>
    </row>
    <row r="23" spans="5:6">
      <c r="E23" s="6" t="s">
        <v>1163</v>
      </c>
      <c r="F23" s="7">
        <v>524621.61049999995</v>
      </c>
    </row>
    <row r="24" spans="5:6">
      <c r="E24" s="3" t="s">
        <v>1153</v>
      </c>
      <c r="F24" s="7">
        <v>15033192.351999998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2E110-0246-4D0F-8205-CEC90BA1E0AE}">
  <dimension ref="A1:C7"/>
  <sheetViews>
    <sheetView topLeftCell="A15" zoomScaleNormal="100" workbookViewId="0">
      <selection activeCell="AG28" sqref="AG28"/>
    </sheetView>
  </sheetViews>
  <sheetFormatPr defaultRowHeight="14.4"/>
  <cols>
    <col min="1" max="1" width="14.6640625" bestFit="1" customWidth="1"/>
    <col min="2" max="2" width="23.21875" bestFit="1" customWidth="1"/>
    <col min="3" max="3" width="16.44140625" bestFit="1" customWidth="1"/>
  </cols>
  <sheetData>
    <row r="1" spans="1:3">
      <c r="A1" s="5" t="s">
        <v>1152</v>
      </c>
      <c r="B1" s="4" t="s">
        <v>1154</v>
      </c>
      <c r="C1" s="4" t="s">
        <v>1155</v>
      </c>
    </row>
    <row r="2" spans="1:3">
      <c r="A2" s="3" t="s">
        <v>14</v>
      </c>
      <c r="B2" s="7">
        <v>2926555.0410000002</v>
      </c>
      <c r="C2" s="7">
        <v>453355.04100000008</v>
      </c>
    </row>
    <row r="3" spans="1:3">
      <c r="A3" s="3" t="s">
        <v>50</v>
      </c>
      <c r="B3" s="7">
        <v>2783045.4580000015</v>
      </c>
      <c r="C3" s="7">
        <v>533945.45799999963</v>
      </c>
    </row>
    <row r="4" spans="1:3">
      <c r="A4" s="3" t="s">
        <v>20</v>
      </c>
      <c r="B4" s="7">
        <v>3365664.3375000004</v>
      </c>
      <c r="C4" s="7">
        <v>608914.33749999991</v>
      </c>
    </row>
    <row r="5" spans="1:3">
      <c r="A5" s="3" t="s">
        <v>72</v>
      </c>
      <c r="B5" s="7">
        <v>3002949.9580000015</v>
      </c>
      <c r="C5" s="7">
        <v>570849.95799999975</v>
      </c>
    </row>
    <row r="6" spans="1:3">
      <c r="A6" s="3" t="s">
        <v>46</v>
      </c>
      <c r="B6" s="7">
        <v>2954977.5575000006</v>
      </c>
      <c r="C6" s="7">
        <v>533627.5575</v>
      </c>
    </row>
    <row r="7" spans="1:3">
      <c r="A7" s="3" t="s">
        <v>1153</v>
      </c>
      <c r="B7" s="7">
        <v>15033192.352000006</v>
      </c>
      <c r="C7" s="7">
        <v>2700692.3519999995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0AB1E5C-FBCB-41DA-AA40-44929FB4447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sales</vt:lpstr>
      <vt:lpstr>Dashboard</vt:lpstr>
      <vt:lpstr>KPI_Summary</vt:lpstr>
      <vt:lpstr>Pivot_Analysis</vt:lpstr>
      <vt:lpstr>SalesbyChannel_Pivot_Analysis</vt:lpstr>
      <vt:lpstr>Monthly_Pivot_Analysis</vt:lpstr>
      <vt:lpstr>Store_Pivot_Analysis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Chehan Lasindu</dc:creator>
  <cp:lastModifiedBy>Chehan Lasindu</cp:lastModifiedBy>
  <dcterms:created xsi:type="dcterms:W3CDTF">2026-10-24T13:21:58Z</dcterms:created>
  <dcterms:modified xsi:type="dcterms:W3CDTF">2026-10-25T12:42:57Z</dcterms:modified>
</cp:coreProperties>
</file>